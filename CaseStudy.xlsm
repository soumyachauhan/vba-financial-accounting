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umy\Desktop\SDBI\Sem 2\Excel VBA\case study\"/>
    </mc:Choice>
  </mc:AlternateContent>
  <xr:revisionPtr revIDLastSave="0" documentId="13_ncr:1_{E579EB88-4EA8-4E78-8C9F-6959784DE78D}" xr6:coauthVersionLast="47" xr6:coauthVersionMax="47" xr10:uidLastSave="{00000000-0000-0000-0000-000000000000}"/>
  <bookViews>
    <workbookView xWindow="-108" yWindow="-108" windowWidth="23256" windowHeight="12456" xr2:uid="{D5F55408-A259-4D02-A592-91A5CA1F34EE}"/>
  </bookViews>
  <sheets>
    <sheet name="Welcome" sheetId="10" r:id="rId1"/>
    <sheet name="Menu" sheetId="9" r:id="rId2"/>
    <sheet name="Employee" sheetId="2" r:id="rId3"/>
    <sheet name="Customer" sheetId="3" r:id="rId4"/>
    <sheet name="Vendor" sheetId="4" r:id="rId5"/>
    <sheet name="Sales Invoice" sheetId="5" r:id="rId6"/>
    <sheet name="Sales" sheetId="6" r:id="rId7"/>
    <sheet name="Purchase" sheetId="11" r:id="rId8"/>
  </sheets>
  <functionGroups builtInGroupCount="19"/>
  <definedNames>
    <definedName name="KRISLON_SYNTHETICS_PVT.LTD.">Customer!$B$3:$B$13</definedName>
    <definedName name="_xlnm.Print_Area" localSheetId="5">'Sales Invoice'!$A$1:$H$41</definedName>
    <definedName name="_xlnm.Print_Area" localSheetId="0">Welcome!$S$21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6" l="1"/>
  <c r="O20" i="6"/>
  <c r="O21" i="6"/>
  <c r="O22" i="6"/>
  <c r="M3" i="6"/>
  <c r="N3" i="6" s="1"/>
  <c r="O3" i="6" s="1"/>
  <c r="M4" i="6"/>
  <c r="P4" i="6" s="1"/>
  <c r="M5" i="6"/>
  <c r="N5" i="6" s="1"/>
  <c r="O5" i="6" s="1"/>
  <c r="M6" i="6"/>
  <c r="N6" i="6" s="1"/>
  <c r="O6" i="6" s="1"/>
  <c r="M7" i="6"/>
  <c r="P7" i="6" s="1"/>
  <c r="M8" i="6"/>
  <c r="N8" i="6" s="1"/>
  <c r="O8" i="6" s="1"/>
  <c r="M9" i="6"/>
  <c r="P9" i="6" s="1"/>
  <c r="M10" i="6"/>
  <c r="N10" i="6" s="1"/>
  <c r="O10" i="6" s="1"/>
  <c r="M11" i="6"/>
  <c r="N11" i="6" s="1"/>
  <c r="M12" i="6"/>
  <c r="P12" i="6" s="1"/>
  <c r="M13" i="6"/>
  <c r="N13" i="6" s="1"/>
  <c r="O13" i="6" s="1"/>
  <c r="M14" i="6"/>
  <c r="N14" i="6" s="1"/>
  <c r="O14" i="6" s="1"/>
  <c r="M15" i="6"/>
  <c r="N15" i="6" s="1"/>
  <c r="O15" i="6" s="1"/>
  <c r="M16" i="6"/>
  <c r="N16" i="6" s="1"/>
  <c r="O16" i="6" s="1"/>
  <c r="M17" i="6"/>
  <c r="M18" i="6"/>
  <c r="N18" i="6" s="1"/>
  <c r="O18" i="6" s="1"/>
  <c r="M19" i="6"/>
  <c r="N19" i="6" s="1"/>
  <c r="O19" i="6" s="1"/>
  <c r="M20" i="6"/>
  <c r="P20" i="6" s="1"/>
  <c r="M3" i="11"/>
  <c r="M4" i="11"/>
  <c r="L3" i="11"/>
  <c r="L4" i="11"/>
  <c r="K3" i="11"/>
  <c r="J3" i="11"/>
  <c r="J4" i="11"/>
  <c r="K4" i="11" s="1"/>
  <c r="J5" i="11"/>
  <c r="K5" i="11" s="1"/>
  <c r="J6" i="11"/>
  <c r="K6" i="11" s="1"/>
  <c r="J7" i="11"/>
  <c r="J8" i="11"/>
  <c r="K8" i="11" s="1"/>
  <c r="J9" i="11"/>
  <c r="K9" i="11" s="1"/>
  <c r="J10" i="11"/>
  <c r="J11" i="11"/>
  <c r="L11" i="11" s="1"/>
  <c r="E3" i="11"/>
  <c r="E4" i="11"/>
  <c r="E5" i="11"/>
  <c r="E6" i="11"/>
  <c r="E7" i="11"/>
  <c r="E8" i="11"/>
  <c r="E9" i="11"/>
  <c r="E10" i="11"/>
  <c r="E11" i="11"/>
  <c r="P19" i="6" l="1"/>
  <c r="P18" i="6"/>
  <c r="P10" i="6"/>
  <c r="P11" i="6"/>
  <c r="P6" i="6"/>
  <c r="P15" i="6"/>
  <c r="P17" i="6"/>
  <c r="N17" i="6"/>
  <c r="O17" i="6" s="1"/>
  <c r="N9" i="6"/>
  <c r="O9" i="6" s="1"/>
  <c r="P14" i="6"/>
  <c r="R13" i="6"/>
  <c r="R5" i="6"/>
  <c r="O11" i="6"/>
  <c r="R11" i="6" s="1"/>
  <c r="N12" i="6"/>
  <c r="O12" i="6" s="1"/>
  <c r="N4" i="6"/>
  <c r="O4" i="6" s="1"/>
  <c r="R19" i="6"/>
  <c r="R3" i="6"/>
  <c r="R18" i="6"/>
  <c r="R10" i="6"/>
  <c r="P16" i="6"/>
  <c r="P8" i="6"/>
  <c r="R16" i="6"/>
  <c r="R15" i="6"/>
  <c r="N7" i="6"/>
  <c r="O7" i="6" s="1"/>
  <c r="P13" i="6"/>
  <c r="P5" i="6"/>
  <c r="R14" i="6"/>
  <c r="R6" i="6"/>
  <c r="R8" i="6"/>
  <c r="K11" i="11"/>
  <c r="M11" i="11" s="1"/>
  <c r="K10" i="11"/>
  <c r="M10" i="11" s="1"/>
  <c r="L10" i="11"/>
  <c r="L9" i="11"/>
  <c r="M9" i="11" s="1"/>
  <c r="L8" i="11"/>
  <c r="M8" i="11"/>
  <c r="L7" i="11"/>
  <c r="K7" i="11"/>
  <c r="M7" i="11" s="1"/>
  <c r="L6" i="11"/>
  <c r="M6" i="11"/>
  <c r="L5" i="11"/>
  <c r="M5" i="11" s="1"/>
  <c r="R9" i="6" l="1"/>
  <c r="R7" i="6"/>
  <c r="R17" i="6"/>
  <c r="R12" i="6"/>
  <c r="R4" i="6"/>
  <c r="H20" i="5" l="1"/>
  <c r="L2" i="11" l="1"/>
  <c r="J2" i="11"/>
  <c r="K2" i="11" s="1"/>
  <c r="M2" i="11" s="1"/>
  <c r="E2" i="11"/>
  <c r="B18" i="5"/>
  <c r="D17" i="5"/>
  <c r="D15" i="5"/>
  <c r="B15" i="5"/>
  <c r="A15" i="5"/>
  <c r="A16" i="5"/>
  <c r="M2" i="6" l="1"/>
  <c r="N2" i="6" s="1"/>
  <c r="O2" i="6" s="1"/>
  <c r="R2" i="6" l="1"/>
  <c r="P2" i="6"/>
  <c r="H38" i="5" l="1"/>
  <c r="K28" i="5"/>
  <c r="K27" i="5"/>
  <c r="K26" i="5"/>
  <c r="I26" i="5"/>
  <c r="K25" i="5"/>
  <c r="I25" i="5"/>
  <c r="K24" i="5"/>
  <c r="I24" i="5"/>
  <c r="K23" i="5"/>
  <c r="I23" i="5"/>
  <c r="K22" i="5"/>
  <c r="I22" i="5"/>
  <c r="K21" i="5"/>
  <c r="I21" i="5"/>
  <c r="K20" i="5"/>
  <c r="H34" i="5" s="1"/>
  <c r="I20" i="5" l="1"/>
  <c r="H31" i="5"/>
  <c r="B30" i="5" l="1"/>
  <c r="B29" i="5"/>
  <c r="D30" i="5"/>
  <c r="I28" i="5" s="1"/>
  <c r="D29" i="5"/>
  <c r="I27" i="5" s="1"/>
  <c r="F29" i="5"/>
  <c r="F30" i="5"/>
  <c r="H32" i="5" l="1"/>
  <c r="H33" i="5" s="1"/>
  <c r="H37" i="5" l="1"/>
  <c r="A39" i="5"/>
</calcChain>
</file>

<file path=xl/sharedStrings.xml><?xml version="1.0" encoding="utf-8"?>
<sst xmlns="http://schemas.openxmlformats.org/spreadsheetml/2006/main" count="536" uniqueCount="391">
  <si>
    <t>ID</t>
  </si>
  <si>
    <t>Name</t>
  </si>
  <si>
    <t>Mobile Number</t>
  </si>
  <si>
    <t>Email ID</t>
  </si>
  <si>
    <t>Gender</t>
  </si>
  <si>
    <t>Department</t>
  </si>
  <si>
    <t>State</t>
  </si>
  <si>
    <t>Sales</t>
  </si>
  <si>
    <t>Accounts</t>
  </si>
  <si>
    <t>Operations</t>
  </si>
  <si>
    <t>HR</t>
  </si>
  <si>
    <t>Management</t>
  </si>
  <si>
    <t>BR|Bihar</t>
  </si>
  <si>
    <t>GJ|Gujarat</t>
  </si>
  <si>
    <t>HP|Himachal Pradesh</t>
  </si>
  <si>
    <t>MH|Maharashtra</t>
  </si>
  <si>
    <t>RJ|Rajasthan</t>
  </si>
  <si>
    <t>Business Name</t>
  </si>
  <si>
    <t>Shop Name / Brand Name</t>
  </si>
  <si>
    <t>Source of Contact</t>
  </si>
  <si>
    <t>Contact Person</t>
  </si>
  <si>
    <t>Contact Person Mobile Number</t>
  </si>
  <si>
    <t>Address</t>
  </si>
  <si>
    <t>GST Number</t>
  </si>
  <si>
    <t>Contact Person Name</t>
  </si>
  <si>
    <t>BNI</t>
  </si>
  <si>
    <t>IndiaMart</t>
  </si>
  <si>
    <t>Flipkart</t>
  </si>
  <si>
    <t>Amazon</t>
  </si>
  <si>
    <t>Personal</t>
  </si>
  <si>
    <t xml:space="preserve"> </t>
  </si>
  <si>
    <t xml:space="preserve"> (As per the sections 31(1) of CGST Act 2017 &amp; Rule 1 of Invoice Rules)</t>
  </si>
  <si>
    <t xml:space="preserve">TAX INVOICE </t>
  </si>
  <si>
    <t xml:space="preserve">435 IJMIMA complex, Mindspace, Off Link road, Behind Infinity Mall 2, Malad West, Mumbai,  Maharashtra-400064, India.                                                                                                        </t>
  </si>
  <si>
    <t>Invoice No</t>
  </si>
  <si>
    <t>Invoice Date</t>
  </si>
  <si>
    <t>Challan no</t>
  </si>
  <si>
    <t>Challan Date</t>
  </si>
  <si>
    <t>Buyer's PO</t>
  </si>
  <si>
    <t>PO Date</t>
  </si>
  <si>
    <t xml:space="preserve">Dispatched Through                                            </t>
  </si>
  <si>
    <t>Billing Address</t>
  </si>
  <si>
    <t>MAHARASHTRA</t>
  </si>
  <si>
    <t>Delivery Address</t>
  </si>
  <si>
    <t xml:space="preserve">Buyer's GST            </t>
  </si>
  <si>
    <r>
      <rPr>
        <b/>
        <sz val="14"/>
        <color rgb="FF151616"/>
        <rFont val="Bookman Old Style"/>
        <family val="1"/>
      </rPr>
      <t>Particulars</t>
    </r>
  </si>
  <si>
    <r>
      <rPr>
        <b/>
        <sz val="14"/>
        <color rgb="FF151616"/>
        <rFont val="Bookman Old Style"/>
        <family val="1"/>
      </rPr>
      <t>HSN Code</t>
    </r>
  </si>
  <si>
    <r>
      <rPr>
        <b/>
        <sz val="14"/>
        <color rgb="FF151616"/>
        <rFont val="Bookman Old Style"/>
        <family val="1"/>
      </rPr>
      <t>IGST</t>
    </r>
  </si>
  <si>
    <r>
      <rPr>
        <b/>
        <sz val="14"/>
        <color rgb="FF151616"/>
        <rFont val="Bookman Old Style"/>
        <family val="1"/>
      </rPr>
      <t>GST</t>
    </r>
  </si>
  <si>
    <r>
      <rPr>
        <b/>
        <sz val="14"/>
        <color rgb="FF151616"/>
        <rFont val="Bookman Old Style"/>
        <family val="1"/>
      </rPr>
      <t>Quantity</t>
    </r>
  </si>
  <si>
    <r>
      <rPr>
        <b/>
        <sz val="14"/>
        <color rgb="FF151616"/>
        <rFont val="Bookman Old Style"/>
        <family val="1"/>
      </rPr>
      <t>Rate</t>
    </r>
  </si>
  <si>
    <r>
      <rPr>
        <b/>
        <sz val="14"/>
        <color rgb="FF151616"/>
        <rFont val="Bookman Old Style"/>
        <family val="1"/>
      </rPr>
      <t>Per</t>
    </r>
  </si>
  <si>
    <r>
      <rPr>
        <b/>
        <sz val="14"/>
        <color rgb="FF151616"/>
        <rFont val="Bookman Old Style"/>
        <family val="1"/>
      </rPr>
      <t>Amount</t>
    </r>
  </si>
  <si>
    <t>gst amt</t>
  </si>
  <si>
    <t>igst</t>
  </si>
  <si>
    <t>SGST 2.5%</t>
  </si>
  <si>
    <t>SGST 6%</t>
  </si>
  <si>
    <t>SGST 9%</t>
  </si>
  <si>
    <t>CGST 2.5%</t>
  </si>
  <si>
    <t>CGST 6%</t>
  </si>
  <si>
    <t>CGST 9%</t>
  </si>
  <si>
    <t>1. No Complaints regarding condition or shortage of above material will be entertained unless intimated immediately and in any case not later than 7 days of taking delivery of goods.</t>
  </si>
  <si>
    <r>
      <t xml:space="preserve">GST No : </t>
    </r>
    <r>
      <rPr>
        <b/>
        <sz val="14"/>
        <color rgb="FF000000"/>
        <rFont val="Bookman Old Style"/>
        <family val="1"/>
      </rPr>
      <t xml:space="preserve"> 27AAOFV6211A1ZC</t>
    </r>
  </si>
  <si>
    <r>
      <rPr>
        <b/>
        <sz val="14"/>
        <color rgb="FF151616"/>
        <rFont val="Bookman Old Style"/>
        <family val="1"/>
      </rPr>
      <t>Total</t>
    </r>
  </si>
  <si>
    <t>2. No Transaction can be cancelled by the customer without our consent.</t>
  </si>
  <si>
    <t xml:space="preserve">PAN No : AAOFV6211A   TAN No :  MUMV23782D </t>
  </si>
  <si>
    <t>SGST</t>
  </si>
  <si>
    <t>3. Collection and Bank Charges will be collected from the Customers in addition.</t>
  </si>
  <si>
    <t xml:space="preserve">MSME :  MH18A0010277 LLPIN:  AAH-9908   </t>
  </si>
  <si>
    <t>CGST</t>
  </si>
  <si>
    <t>4. Interest @18% per annum will be charged if not paid on due date.</t>
  </si>
  <si>
    <t xml:space="preserve">Vitthal TPS Kreationss LLP </t>
  </si>
  <si>
    <r>
      <rPr>
        <sz val="14"/>
        <color rgb="FF151616"/>
        <rFont val="Bookman Old Style"/>
        <family val="1"/>
      </rPr>
      <t>IGST</t>
    </r>
  </si>
  <si>
    <t>5. Subject to Mumbai Jurisdiction.</t>
  </si>
  <si>
    <t xml:space="preserve">Bank of Baroda, Charkop Branch </t>
  </si>
  <si>
    <r>
      <rPr>
        <sz val="14"/>
        <color rgb="FF151616"/>
        <rFont val="Bookman Old Style"/>
        <family val="1"/>
      </rPr>
      <t>Pkg &amp; Frwd</t>
    </r>
  </si>
  <si>
    <t>6. We are not responsible for any delay caused by the transporter.</t>
  </si>
  <si>
    <r>
      <t>Cash Credit A/c-</t>
    </r>
    <r>
      <rPr>
        <b/>
        <sz val="14"/>
        <color rgb="FF000000"/>
        <rFont val="Bookman Old Style"/>
        <family val="1"/>
      </rPr>
      <t xml:space="preserve"> 26410500000071</t>
    </r>
    <r>
      <rPr>
        <sz val="14"/>
        <color rgb="FF000000"/>
        <rFont val="Bookman Old Style"/>
        <family val="1"/>
      </rPr>
      <t>,</t>
    </r>
  </si>
  <si>
    <r>
      <rPr>
        <b/>
        <sz val="12"/>
        <color rgb="FF151616"/>
        <rFont val="Bookman Old Style"/>
        <family val="1"/>
      </rPr>
      <t>R/O G. Total</t>
    </r>
  </si>
  <si>
    <t>7. Material will be booked on TO PAY BASIS.</t>
  </si>
  <si>
    <t xml:space="preserve"> IFSC- BARB0CHARKO</t>
  </si>
  <si>
    <r>
      <rPr>
        <b/>
        <sz val="14"/>
        <color rgb="FF151616"/>
        <rFont val="Bookman Old Style"/>
        <family val="1"/>
      </rPr>
      <t>R/O G. Total</t>
    </r>
  </si>
  <si>
    <t>Regd. Off.: A502, Prithavi Palace, Link Road, Kander Pada, Dahisar (W), Mumbai 400068.</t>
  </si>
  <si>
    <t>Payment within 7  days.</t>
  </si>
  <si>
    <t xml:space="preserve"> Due date</t>
  </si>
  <si>
    <t>Receiver’s Signature with Company Seal</t>
  </si>
  <si>
    <r>
      <t xml:space="preserve">Authorised Signatory                                                                                                                                                                                         </t>
    </r>
    <r>
      <rPr>
        <b/>
        <sz val="14"/>
        <color rgb="FF000000"/>
        <rFont val="Bookman Old Style"/>
        <family val="1"/>
      </rPr>
      <t xml:space="preserve"> For Vitthal TPS Kreationss LLP</t>
    </r>
  </si>
  <si>
    <t>E. &amp; O. E</t>
  </si>
  <si>
    <t>Invoice No.</t>
  </si>
  <si>
    <t>Customer Name</t>
  </si>
  <si>
    <t>GSTCode</t>
  </si>
  <si>
    <t>Product Description</t>
  </si>
  <si>
    <t>Quantity</t>
  </si>
  <si>
    <t>UOM</t>
  </si>
  <si>
    <t>Rate</t>
  </si>
  <si>
    <t>HSN Code</t>
  </si>
  <si>
    <t>GST %</t>
  </si>
  <si>
    <t>IGST %</t>
  </si>
  <si>
    <t>Basic Value</t>
  </si>
  <si>
    <t>IGST</t>
  </si>
  <si>
    <t>Other Charges</t>
  </si>
  <si>
    <t>User</t>
  </si>
  <si>
    <t>Time Stamp</t>
  </si>
  <si>
    <t>Each</t>
  </si>
  <si>
    <t>Pallavi</t>
  </si>
  <si>
    <t>23-03-2024 12:28:39</t>
  </si>
  <si>
    <t>23-03-2024 12:29:42</t>
  </si>
  <si>
    <t>23-03-2024 12:31:18</t>
  </si>
  <si>
    <t>23-03-2024 12:33:40</t>
  </si>
  <si>
    <t>23-03-2024 12:53:45</t>
  </si>
  <si>
    <t>23-03-2024 12:54:01</t>
  </si>
  <si>
    <t>23-03-2024 12:54:03</t>
  </si>
  <si>
    <t>Soumya Chauhan</t>
  </si>
  <si>
    <t>23-03-2024 14:55:06</t>
  </si>
  <si>
    <t>KRISLON SYNTHETICS PVT.LTD.</t>
  </si>
  <si>
    <t>BALBHARTI CREATIONS</t>
  </si>
  <si>
    <t>SPM INSTITUTES OF BUSINESS STUDIES</t>
  </si>
  <si>
    <t>HARDHIK GROUP</t>
  </si>
  <si>
    <t>KAYS CORPORATION</t>
  </si>
  <si>
    <t>D K ENTERPRISE</t>
  </si>
  <si>
    <t>MARK MEDIUMS</t>
  </si>
  <si>
    <t>GLOBAL VALVES AND FITTINGS CO.</t>
  </si>
  <si>
    <t>LIFE HEALTH FOODS INDIA PVT.LTD.</t>
  </si>
  <si>
    <t>MAHAVIR [ THE HOME STORE ]</t>
  </si>
  <si>
    <t>JARIWALA ROBOTICS PVT.LTD.</t>
  </si>
  <si>
    <t>A TO Z PEST CONTROL</t>
  </si>
  <si>
    <t>NOI</t>
  </si>
  <si>
    <t>SUBHTEX</t>
  </si>
  <si>
    <t>INDIAMART</t>
  </si>
  <si>
    <t>JUST DIAL</t>
  </si>
  <si>
    <t>Samadhan</t>
  </si>
  <si>
    <t>Manoj Dangi</t>
  </si>
  <si>
    <t>Shalin Gandhi</t>
  </si>
  <si>
    <t>Ravneet Jaggi</t>
  </si>
  <si>
    <t>Veena</t>
  </si>
  <si>
    <t>Rohit Bhagat</t>
  </si>
  <si>
    <t>Shakeef Khan</t>
  </si>
  <si>
    <t>Rahul Patel</t>
  </si>
  <si>
    <t>Jigar Parikh</t>
  </si>
  <si>
    <t>Poonam</t>
  </si>
  <si>
    <t>Vikram Jatania</t>
  </si>
  <si>
    <t>operations@krislon.com</t>
  </si>
  <si>
    <t>subhtex@gmail.com</t>
  </si>
  <si>
    <t>spmdaf.it@gmail.com</t>
  </si>
  <si>
    <t>kayscorporation@gmail.com</t>
  </si>
  <si>
    <t>sanjibc@lhfindia.in</t>
  </si>
  <si>
    <t>info@globalvalvesfittings.com</t>
  </si>
  <si>
    <t>mehul@mahavirhomestore.com</t>
  </si>
  <si>
    <t>accounts@jgrouprobotics.in</t>
  </si>
  <si>
    <t>atozpest2007@rediffmail.com</t>
  </si>
  <si>
    <t>KRISLON HOUSE, SAKI VIHAR ROAD, SAKINAKA, ANDHERI (EAST) - 72</t>
  </si>
  <si>
    <t xml:space="preserve">30/32 RAM WADI, SHOP NO.22, 2ND FLOOR, KALBADEVI, MUMBAI - </t>
  </si>
  <si>
    <t>SECTOR - 15, PODI NO.1, NEW PANVEL (EAST), NAVI MUMBAI, RAIGAD, PANVEL MH - 410206.</t>
  </si>
  <si>
    <t>SHOP NO.18, GANESH CORNER, OPP.KUMAR RESORT, LONAVALA - 410401.</t>
  </si>
  <si>
    <t>PLOT NO.378, ROOM NO.D-43, SECTOR 3, CHARKOP KANDIVALI (WEST) - 400067</t>
  </si>
  <si>
    <t>GROUND FLOOR, GALA NO.12, SHREE HARI INDUSTRIAL ESTATE, KANDIVALI (WEST) - 400067.</t>
  </si>
  <si>
    <t>203, ARK INDUSTRIAL ESTATE, MAKWANA ROAD, MAROL, MUMBAI - 400059.</t>
  </si>
  <si>
    <t>A/10, K.J.B.COMPOUND, OPPOSITE NAHAR AMRIT SHAKTI, KHAIRANI ROAD, SAKINAKA ANDHERI (EAST) - 400072.</t>
  </si>
  <si>
    <t>510, ATLANTA ESTATE, DR.AMBEDKAR CHOWK, OFF WESTERN EXPRESS HIGHWAY, GOREGAON (EAST) - 63.</t>
  </si>
  <si>
    <t>MATCHESWALA COMPOUND, STATION ROAD, SANTACRUZ (WEST) - 72.</t>
  </si>
  <si>
    <t>GAURAV VALLEY, SUPER MARKET, HATKESH NAGAR, NEAR GCC CLUB, MIRA ROAD (EAST) - 401107.</t>
  </si>
  <si>
    <t>13-B, SHOP NO.13, GANDHI MARKET, CHEMBUR COLONY, NEAR JHULELAL MANDIR, CHEMBUR, MUMBAI - 400074.</t>
  </si>
  <si>
    <t>27AAACK4217A1Z5</t>
  </si>
  <si>
    <t>27AFLPD6037N1Z3</t>
  </si>
  <si>
    <t>27ABSFS8950J1Z8</t>
  </si>
  <si>
    <t>27AAIFH1407N1Z9</t>
  </si>
  <si>
    <t>27AARFK3217E1ZC</t>
  </si>
  <si>
    <t>27ADWPD8361Q1ZJ</t>
  </si>
  <si>
    <t>27AAZFM8249A2ZR</t>
  </si>
  <si>
    <t>27ALJPK1639F1Z4</t>
  </si>
  <si>
    <t>27AADCP2354C1ZR</t>
  </si>
  <si>
    <t>27AABFM0671Q1ZX</t>
  </si>
  <si>
    <t>27AADCJ1715D1Z0</t>
  </si>
  <si>
    <t>27AAXPS7829L1ZG</t>
  </si>
  <si>
    <t>23-03-2024 15:13:23</t>
  </si>
  <si>
    <t>23-03-2024 15:15:09</t>
  </si>
  <si>
    <t>VTPS/2024/001</t>
  </si>
  <si>
    <t>23-03-2024 15:27:46</t>
  </si>
  <si>
    <t>VTPS/2024/002</t>
  </si>
  <si>
    <t>23-03-2024 15:27:55</t>
  </si>
  <si>
    <t>Date of Birth</t>
  </si>
  <si>
    <t>Date of Joining</t>
  </si>
  <si>
    <t xml:space="preserve">Email ID </t>
  </si>
  <si>
    <t>VENDOR MASTER</t>
  </si>
  <si>
    <t>PURCHASE REGISTER</t>
  </si>
  <si>
    <t>CUSTOMER MASTER</t>
  </si>
  <si>
    <t>SALES INVOICE</t>
  </si>
  <si>
    <t>EMPLOYEE MASTER</t>
  </si>
  <si>
    <t>TRANSACTION</t>
  </si>
  <si>
    <t>MASTERS</t>
  </si>
  <si>
    <t>Main Menu</t>
  </si>
  <si>
    <t>Invoice Number</t>
  </si>
  <si>
    <t xml:space="preserve">Vendor Name </t>
  </si>
  <si>
    <t xml:space="preserve">SGST </t>
  </si>
  <si>
    <t>Total Amount</t>
  </si>
  <si>
    <t>EACH</t>
  </si>
  <si>
    <t>VTPS/2024/003</t>
  </si>
  <si>
    <t>VTPS/2024/004</t>
  </si>
  <si>
    <t>VTPS/2024/005</t>
  </si>
  <si>
    <t>VTPS/2024/006</t>
  </si>
  <si>
    <t>VTPS/2024/007</t>
  </si>
  <si>
    <t>VTPS/2024/008</t>
  </si>
  <si>
    <t>VTPS/2024/009</t>
  </si>
  <si>
    <t>VTPS/2024/010</t>
  </si>
  <si>
    <t>VTPS/2024/011</t>
  </si>
  <si>
    <t>VTPS/2024/012</t>
  </si>
  <si>
    <t>VTPS/2024/013</t>
  </si>
  <si>
    <t>27ABWFE9823A1ZX</t>
  </si>
  <si>
    <t>27PYRHU6745B2ZY</t>
  </si>
  <si>
    <t>27KSNLG8356C3XZ</t>
  </si>
  <si>
    <t>27WQIXD1457D4YZ</t>
  </si>
  <si>
    <t>27ZMVDN2678E5ZY</t>
  </si>
  <si>
    <t>27JQAXF9089F6XZ</t>
  </si>
  <si>
    <t>27TDUIC5470G7YZ</t>
  </si>
  <si>
    <t>27CVNWG3761H8ZX</t>
  </si>
  <si>
    <t>27FOYSA8192I9YZ</t>
  </si>
  <si>
    <t>VTPS_V001</t>
  </si>
  <si>
    <t>VTPS_V002</t>
  </si>
  <si>
    <t>VTPS_V003</t>
  </si>
  <si>
    <t>VTPS_V004</t>
  </si>
  <si>
    <t>VTPS_V005</t>
  </si>
  <si>
    <t>VTPS_V006</t>
  </si>
  <si>
    <t>VTPS_V007</t>
  </si>
  <si>
    <t>VTPS_V008</t>
  </si>
  <si>
    <t>VTPS_V009</t>
  </si>
  <si>
    <t>AAI ENTERPRISES</t>
  </si>
  <si>
    <t>ABACUS INFOTECH</t>
  </si>
  <si>
    <t>ABC TRADING CORPORATION</t>
  </si>
  <si>
    <t>AGNI PROTECTION</t>
  </si>
  <si>
    <t>Ajramar Paper Co.</t>
  </si>
  <si>
    <t>AMBIKA TECHNOLOGIES</t>
  </si>
  <si>
    <t>AMI PAPER MART</t>
  </si>
  <si>
    <t>And Global Sales Corporation</t>
  </si>
  <si>
    <t>ANKUR ENGINEERING SOLUTION</t>
  </si>
  <si>
    <t>GALA NO.F-12, BUILDING NO.05, SAGAR INDUSTRIAL ESTATE, WALIV DHUMAL NAGAR, PALGHAR, MAHARASHTRA - 401208.</t>
  </si>
  <si>
    <t>211, BLUE ROSE INDUSTRIAL PREMISES 2ND FLOOR, ABOVE MARUTI SHOWROOM , DATTA PADA., OFF WESTERN EXPRESS HIGHWAY BORIVALI (EAST) - 400066.</t>
  </si>
  <si>
    <t>GALA E-4, GUPTA WAREHOUSING COMPLEX, ANJUR BHIWANDI ROAD, MANKOLI BHIWANDI, MAHARASHTRA - 421305.</t>
  </si>
  <si>
    <t>FLAT NO.B-304, KASHI HERA APT, NR.MARATHI SCHOOL, WALIV GAON, VASAI (EAST) - 401208.</t>
  </si>
  <si>
    <t>151, Narayan Niwas, Dadiseth Agiary Lane, Mumbai - 400002.</t>
  </si>
  <si>
    <t>SHOP NO.10, SUMER NAGAR, OPP.MCDONALDS, KORA KENDRA, S.V.ROAD, BORIVALI (WEST) - 400092.</t>
  </si>
  <si>
    <t>19, MITESH APARTMENT, OPP.SAPNA HOTEL, NEAR N.L.HIGH SCHOOL, S.V.ROAD, MALAD (WEST) - 400064.</t>
  </si>
  <si>
    <t>Shop No-1,2,3,4 Dhariwal Avenue CHSL, Plot No-343, Jawahar Nagar Road No-18, Goregaon (West) - 400062.</t>
  </si>
  <si>
    <t>GALA NO.4, GR.FLOOR, LAXMI APARTMENT, PARMATMA NAGAR, WALIV , VASAI (EAST) - 401208.</t>
  </si>
  <si>
    <t>35-39, Mirza Street Ground Floor, Mumbai-400003</t>
  </si>
  <si>
    <t>VTPS_V010</t>
  </si>
  <si>
    <t>APPLE PLASTICS</t>
  </si>
  <si>
    <t>Aarav Patel</t>
  </si>
  <si>
    <t>Sanaya Gupta</t>
  </si>
  <si>
    <t>Aditya Sharma</t>
  </si>
  <si>
    <t>Aisha Khanna</t>
  </si>
  <si>
    <t>Arjun Kumar</t>
  </si>
  <si>
    <t>Niharika Desai</t>
  </si>
  <si>
    <t>Vikram Singh</t>
  </si>
  <si>
    <t>Ananya Chatterjee</t>
  </si>
  <si>
    <t>Rohan Malhotra</t>
  </si>
  <si>
    <t>Priya Josh</t>
  </si>
  <si>
    <t>9322879879</t>
  </si>
  <si>
    <t>9967358013</t>
  </si>
  <si>
    <t>9323656743</t>
  </si>
  <si>
    <t>022-28368004/5/6</t>
  </si>
  <si>
    <t>8928344243</t>
  </si>
  <si>
    <t>9324045940</t>
  </si>
  <si>
    <t>9022488886</t>
  </si>
  <si>
    <t>9820528803</t>
  </si>
  <si>
    <t>9619178229</t>
  </si>
  <si>
    <t>9820630314</t>
  </si>
  <si>
    <t>primepapercorp@gmail.com</t>
  </si>
  <si>
    <t>reenaenterprise2012@gmail.com</t>
  </si>
  <si>
    <t>mangal879.murti@gmail.com</t>
  </si>
  <si>
    <t>vsa@jaipurgollden.in</t>
  </si>
  <si>
    <t>pratikzatakia1981@gmail.com</t>
  </si>
  <si>
    <t>surdhanfoils@gmail.com</t>
  </si>
  <si>
    <t>vinayakenterprises12@rediffmail.com</t>
  </si>
  <si>
    <t>apmenterprises45@gmail.com</t>
  </si>
  <si>
    <t>lakshmicorp1@gmail.com</t>
  </si>
  <si>
    <t>focusmediabk@gmail.com</t>
  </si>
  <si>
    <t>27AHCPK5738L1ZZ</t>
  </si>
  <si>
    <t>VTPS_C001</t>
  </si>
  <si>
    <t>VTPS_C002</t>
  </si>
  <si>
    <t>VTPS_C003</t>
  </si>
  <si>
    <t>VTPS_C004</t>
  </si>
  <si>
    <t>VTPS_C005</t>
  </si>
  <si>
    <t>VTPS_C006</t>
  </si>
  <si>
    <t>VTPS_C007</t>
  </si>
  <si>
    <t>VTPS_C008</t>
  </si>
  <si>
    <t>VTPS_C009</t>
  </si>
  <si>
    <t>VTPS_C010</t>
  </si>
  <si>
    <t>VTPS_C011</t>
  </si>
  <si>
    <t>VTPS_C012</t>
  </si>
  <si>
    <t>PERSONAL</t>
  </si>
  <si>
    <t>info@sheetalsales.com</t>
  </si>
  <si>
    <t>dkenterprises8@yahoo.o.in</t>
  </si>
  <si>
    <t>VTPS_E001</t>
  </si>
  <si>
    <t>VTPS_E002</t>
  </si>
  <si>
    <t>VTPS_E003</t>
  </si>
  <si>
    <t>VTPS_E004</t>
  </si>
  <si>
    <t>VTPS_E005</t>
  </si>
  <si>
    <t>VTPS_E006</t>
  </si>
  <si>
    <t>VTPS_E007</t>
  </si>
  <si>
    <t>VTPS_E008</t>
  </si>
  <si>
    <t>VTPS_E009</t>
  </si>
  <si>
    <t>Rahul Kapoor</t>
  </si>
  <si>
    <t>Priya Sharma</t>
  </si>
  <si>
    <t>Aryan Patel</t>
  </si>
  <si>
    <t>Nisha Gupta</t>
  </si>
  <si>
    <t>Aditya Singh</t>
  </si>
  <si>
    <t>Anjali Desai</t>
  </si>
  <si>
    <t>Rohan Verma</t>
  </si>
  <si>
    <t>Sneha Reddy</t>
  </si>
  <si>
    <t>Vikram Shah</t>
  </si>
  <si>
    <t>akshay.kumar@yahoo.in</t>
  </si>
  <si>
    <t>priya.patel@gmail.com</t>
  </si>
  <si>
    <t>rohan.sharma@yahoo.in</t>
  </si>
  <si>
    <t>neha.gupta@gmail.com</t>
  </si>
  <si>
    <t>ananya.singh@yahoo.in</t>
  </si>
  <si>
    <t>rahul.verma@gmail.com</t>
  </si>
  <si>
    <t>aisha.khan@yahoo.in</t>
  </si>
  <si>
    <t>siddharth.reddy@gmail.com</t>
  </si>
  <si>
    <t>meera.joshi@yahoo.in</t>
  </si>
  <si>
    <t>Kurla East</t>
  </si>
  <si>
    <t>Dahisar East</t>
  </si>
  <si>
    <t>Mira Road</t>
  </si>
  <si>
    <t>Bhayandar</t>
  </si>
  <si>
    <t>Mahim</t>
  </si>
  <si>
    <t>Virar</t>
  </si>
  <si>
    <t>Vasai</t>
  </si>
  <si>
    <t>Male</t>
  </si>
  <si>
    <t>Female</t>
  </si>
  <si>
    <t>INV202403-001</t>
  </si>
  <si>
    <t>INV202403-002</t>
  </si>
  <si>
    <t>INV202403-003</t>
  </si>
  <si>
    <t>INV202403-004</t>
  </si>
  <si>
    <t>INV202403-005</t>
  </si>
  <si>
    <t>INV202403-006</t>
  </si>
  <si>
    <t>INV202403-007</t>
  </si>
  <si>
    <t>INV202403-008</t>
  </si>
  <si>
    <t>INV202403-009</t>
  </si>
  <si>
    <t>INV202403-010</t>
  </si>
  <si>
    <t>Raw Paper</t>
  </si>
  <si>
    <t>Tapes</t>
  </si>
  <si>
    <t>Laces</t>
  </si>
  <si>
    <t>Gum</t>
  </si>
  <si>
    <t>Raw paper</t>
  </si>
  <si>
    <t>Printers</t>
  </si>
  <si>
    <t>Paper Bags</t>
  </si>
  <si>
    <t>Machine</t>
  </si>
  <si>
    <t>Plastic Covers</t>
  </si>
  <si>
    <t>Paper bags</t>
  </si>
  <si>
    <t>Small Envelope</t>
  </si>
  <si>
    <t>Big Envelope</t>
  </si>
  <si>
    <t>Cake Paper Bag</t>
  </si>
  <si>
    <t>Shoes Paper Bags</t>
  </si>
  <si>
    <t>Chocolate Boxes</t>
  </si>
  <si>
    <t>Cake Boxes</t>
  </si>
  <si>
    <t>1kg cake boxes</t>
  </si>
  <si>
    <t>Letter head</t>
  </si>
  <si>
    <t>Gift cards</t>
  </si>
  <si>
    <t>Boxes</t>
  </si>
  <si>
    <t>24-03-2024 15:06:32</t>
  </si>
  <si>
    <t>Total Value</t>
  </si>
  <si>
    <t>AP|Andhra Pradesh</t>
  </si>
  <si>
    <t>AR|Arunachal Pradesh</t>
  </si>
  <si>
    <t>AS|Assam</t>
  </si>
  <si>
    <t>CT|Chhattisgarh</t>
  </si>
  <si>
    <t>GA|Goa</t>
  </si>
  <si>
    <t>HR|Haryana</t>
  </si>
  <si>
    <t>JK|Jammu and Kashmir</t>
  </si>
  <si>
    <t>JH|Jharkhand</t>
  </si>
  <si>
    <t>KA|Karnataka</t>
  </si>
  <si>
    <t>KL|Kerala</t>
  </si>
  <si>
    <t>MP|Madhya Pradesh</t>
  </si>
  <si>
    <t>MN|Manipur</t>
  </si>
  <si>
    <t>ML|Meghalaya</t>
  </si>
  <si>
    <t>MZ|Mizoram</t>
  </si>
  <si>
    <t>NL|Nagaland</t>
  </si>
  <si>
    <t>OR|Odisha</t>
  </si>
  <si>
    <t>PB|Punjab</t>
  </si>
  <si>
    <t>SK|Sikkim</t>
  </si>
  <si>
    <t>TN|Tamil Nadu</t>
  </si>
  <si>
    <t>TG|Telangana</t>
  </si>
  <si>
    <t>TR|Tripura</t>
  </si>
  <si>
    <t>UT|Uttarakhand</t>
  </si>
  <si>
    <t>UP|Uttar Pradesh</t>
  </si>
  <si>
    <t>WB|West Bengal</t>
  </si>
  <si>
    <t>AN|Andaman and Nicobar Islands</t>
  </si>
  <si>
    <t>CH|Chandigarh</t>
  </si>
  <si>
    <t>DN|Dadra and Nagar Haveli</t>
  </si>
  <si>
    <t>DD|Daman and Diu</t>
  </si>
  <si>
    <t>DL|Delhi</t>
  </si>
  <si>
    <t>LD|Lakshadweep</t>
  </si>
  <si>
    <t>PY|Puducherry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</si>
</sst>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8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Bookman Old Style"/>
      <family val="1"/>
    </font>
    <font>
      <sz val="10"/>
      <color theme="1"/>
      <name val="Bookman Old Style"/>
      <family val="1"/>
    </font>
    <font>
      <b/>
      <sz val="18"/>
      <color rgb="FF000000"/>
      <name val="Bookman Old Style"/>
      <family val="1"/>
    </font>
    <font>
      <sz val="14"/>
      <color rgb="FF151616"/>
      <name val="Bookman Old Style"/>
      <family val="1"/>
    </font>
    <font>
      <b/>
      <sz val="14"/>
      <color rgb="FF151616"/>
      <name val="Bookman Old Style"/>
      <family val="1"/>
    </font>
    <font>
      <b/>
      <sz val="14"/>
      <color rgb="FF000000"/>
      <name val="Bookman Old Style"/>
      <family val="1"/>
    </font>
    <font>
      <sz val="10"/>
      <color rgb="FF000000"/>
      <name val="Times New Roman"/>
      <family val="1"/>
    </font>
    <font>
      <sz val="14"/>
      <color rgb="FF000000"/>
      <name val="Bookman Old Style"/>
      <family val="1"/>
    </font>
    <font>
      <sz val="12"/>
      <color theme="1"/>
      <name val="Bookman Old Style"/>
      <family val="1"/>
    </font>
    <font>
      <sz val="12"/>
      <color rgb="FF000000"/>
      <name val="Bookman Old Style"/>
      <family val="1"/>
    </font>
    <font>
      <sz val="14"/>
      <color theme="1"/>
      <name val="Bookman Old Style"/>
      <family val="1"/>
    </font>
    <font>
      <sz val="11"/>
      <color rgb="FF000000"/>
      <name val="Bookman Old Style"/>
      <family val="1"/>
    </font>
    <font>
      <b/>
      <sz val="14"/>
      <name val="Bookman Old Style"/>
      <family val="1"/>
    </font>
    <font>
      <sz val="14"/>
      <name val="Bookman Old Style"/>
      <family val="1"/>
    </font>
    <font>
      <b/>
      <sz val="14"/>
      <color theme="3" tint="-0.249977111117893"/>
      <name val="Bookman Old Style"/>
      <family val="1"/>
    </font>
    <font>
      <b/>
      <sz val="12"/>
      <name val="Bookman Old Style"/>
      <family val="1"/>
    </font>
    <font>
      <b/>
      <sz val="12"/>
      <color rgb="FF151616"/>
      <name val="Bookman Old Style"/>
      <family val="1"/>
    </font>
    <font>
      <sz val="12"/>
      <name val="Bookman Old Style"/>
      <family val="1"/>
    </font>
    <font>
      <sz val="10"/>
      <color rgb="FF151616"/>
      <name val="Bookman Old Style"/>
      <family val="1"/>
    </font>
    <font>
      <sz val="11"/>
      <name val="Bookman Old Style"/>
      <family val="1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b/>
      <sz val="18"/>
      <color theme="1"/>
      <name val="Times New Roman"/>
      <family val="1"/>
    </font>
    <font>
      <b/>
      <sz val="20"/>
      <color theme="1"/>
      <name val="Times New Roman"/>
      <family val="1"/>
    </font>
    <font>
      <sz val="24"/>
      <color theme="1"/>
      <name val="Times New Roman"/>
      <family val="1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</borders>
  <cellStyleXfs count="4">
    <xf numFmtId="0" fontId="0" fillId="0" borderId="0"/>
    <xf numFmtId="0" fontId="1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80">
    <xf numFmtId="0" fontId="0" fillId="0" borderId="0" xfId="0"/>
    <xf numFmtId="0" fontId="2" fillId="0" borderId="0" xfId="1" applyFont="1" applyAlignment="1">
      <alignment horizontal="left" vertical="top"/>
    </xf>
    <xf numFmtId="2" fontId="3" fillId="0" borderId="0" xfId="1" applyNumberFormat="1" applyFont="1" applyAlignment="1">
      <alignment horizontal="left" vertical="top"/>
    </xf>
    <xf numFmtId="0" fontId="3" fillId="0" borderId="0" xfId="1" applyFont="1" applyAlignment="1">
      <alignment horizontal="left" vertical="top"/>
    </xf>
    <xf numFmtId="0" fontId="7" fillId="0" borderId="1" xfId="1" applyFont="1" applyBorder="1"/>
    <xf numFmtId="1" fontId="9" fillId="3" borderId="2" xfId="2" applyNumberFormat="1" applyFont="1" applyFill="1" applyBorder="1" applyAlignment="1">
      <alignment horizontal="left" wrapText="1"/>
    </xf>
    <xf numFmtId="0" fontId="7" fillId="0" borderId="2" xfId="1" applyFont="1" applyBorder="1"/>
    <xf numFmtId="2" fontId="10" fillId="0" borderId="0" xfId="1" applyNumberFormat="1" applyFont="1" applyAlignment="1">
      <alignment horizontal="left" vertical="top"/>
    </xf>
    <xf numFmtId="0" fontId="10" fillId="0" borderId="0" xfId="1" applyFont="1" applyAlignment="1">
      <alignment horizontal="left" vertical="top"/>
    </xf>
    <xf numFmtId="0" fontId="11" fillId="0" borderId="0" xfId="1" applyFont="1" applyAlignment="1">
      <alignment horizontal="left" vertical="top"/>
    </xf>
    <xf numFmtId="0" fontId="7" fillId="0" borderId="4" xfId="1" applyFont="1" applyBorder="1"/>
    <xf numFmtId="1" fontId="9" fillId="3" borderId="5" xfId="2" quotePrefix="1" applyNumberFormat="1" applyFont="1" applyFill="1" applyBorder="1" applyAlignment="1">
      <alignment horizontal="left" wrapText="1"/>
    </xf>
    <xf numFmtId="0" fontId="7" fillId="0" borderId="5" xfId="1" applyFont="1" applyBorder="1"/>
    <xf numFmtId="0" fontId="9" fillId="3" borderId="5" xfId="1" applyFont="1" applyFill="1" applyBorder="1" applyAlignment="1">
      <alignment horizontal="left" wrapText="1"/>
    </xf>
    <xf numFmtId="0" fontId="7" fillId="0" borderId="5" xfId="1" applyFont="1" applyBorder="1" applyAlignment="1">
      <alignment wrapText="1"/>
    </xf>
    <xf numFmtId="1" fontId="9" fillId="0" borderId="5" xfId="2" quotePrefix="1" applyNumberFormat="1" applyFont="1" applyFill="1" applyBorder="1" applyAlignment="1">
      <alignment horizontal="left" wrapText="1"/>
    </xf>
    <xf numFmtId="0" fontId="7" fillId="0" borderId="12" xfId="1" applyFont="1" applyBorder="1"/>
    <xf numFmtId="0" fontId="9" fillId="0" borderId="13" xfId="1" applyFont="1" applyBorder="1"/>
    <xf numFmtId="0" fontId="7" fillId="0" borderId="15" xfId="1" applyFont="1" applyBorder="1" applyAlignment="1">
      <alignment horizontal="center"/>
    </xf>
    <xf numFmtId="0" fontId="7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1" fontId="11" fillId="3" borderId="1" xfId="2" applyNumberFormat="1" applyFont="1" applyFill="1" applyBorder="1" applyAlignment="1">
      <alignment horizontal="left" wrapText="1"/>
    </xf>
    <xf numFmtId="1" fontId="12" fillId="3" borderId="2" xfId="1" applyNumberFormat="1" applyFont="1" applyFill="1" applyBorder="1" applyAlignment="1">
      <alignment horizontal="center" shrinkToFit="1"/>
    </xf>
    <xf numFmtId="9" fontId="12" fillId="3" borderId="2" xfId="3" applyFont="1" applyFill="1" applyBorder="1" applyAlignment="1">
      <alignment horizontal="center" wrapText="1"/>
    </xf>
    <xf numFmtId="2" fontId="12" fillId="3" borderId="2" xfId="2" applyNumberFormat="1" applyFont="1" applyFill="1" applyBorder="1" applyAlignment="1">
      <alignment horizontal="center" shrinkToFit="1"/>
    </xf>
    <xf numFmtId="164" fontId="12" fillId="0" borderId="3" xfId="2" applyFont="1" applyFill="1" applyBorder="1" applyAlignment="1">
      <alignment horizontal="right" wrapText="1"/>
    </xf>
    <xf numFmtId="9" fontId="10" fillId="0" borderId="0" xfId="3" applyFont="1" applyFill="1" applyBorder="1" applyAlignment="1">
      <alignment horizontal="center" wrapText="1"/>
    </xf>
    <xf numFmtId="0" fontId="10" fillId="0" borderId="4" xfId="1" applyFont="1" applyBorder="1" applyAlignment="1">
      <alignment wrapText="1"/>
    </xf>
    <xf numFmtId="1" fontId="12" fillId="0" borderId="5" xfId="1" applyNumberFormat="1" applyFont="1" applyBorder="1" applyAlignment="1">
      <alignment horizontal="center" shrinkToFit="1"/>
    </xf>
    <xf numFmtId="9" fontId="12" fillId="0" borderId="5" xfId="3" applyFont="1" applyFill="1" applyBorder="1" applyAlignment="1">
      <alignment horizontal="center" wrapText="1"/>
    </xf>
    <xf numFmtId="2" fontId="12" fillId="0" borderId="5" xfId="2" applyNumberFormat="1" applyFont="1" applyFill="1" applyBorder="1" applyAlignment="1">
      <alignment horizontal="center" shrinkToFit="1"/>
    </xf>
    <xf numFmtId="164" fontId="12" fillId="0" borderId="6" xfId="2" applyFont="1" applyFill="1" applyBorder="1" applyAlignment="1">
      <alignment horizontal="right" wrapText="1"/>
    </xf>
    <xf numFmtId="0" fontId="9" fillId="0" borderId="12" xfId="1" applyFont="1" applyBorder="1" applyAlignment="1">
      <alignment horizontal="left" wrapText="1"/>
    </xf>
    <xf numFmtId="1" fontId="12" fillId="0" borderId="13" xfId="1" applyNumberFormat="1" applyFont="1" applyBorder="1" applyAlignment="1">
      <alignment horizontal="center" shrinkToFit="1"/>
    </xf>
    <xf numFmtId="9" fontId="12" fillId="0" borderId="13" xfId="3" applyFont="1" applyFill="1" applyBorder="1" applyAlignment="1">
      <alignment horizontal="center" wrapText="1"/>
    </xf>
    <xf numFmtId="1" fontId="5" fillId="0" borderId="13" xfId="1" applyNumberFormat="1" applyFont="1" applyBorder="1" applyAlignment="1">
      <alignment horizontal="center" shrinkToFit="1"/>
    </xf>
    <xf numFmtId="2" fontId="5" fillId="0" borderId="13" xfId="2" applyNumberFormat="1" applyFont="1" applyFill="1" applyBorder="1" applyAlignment="1">
      <alignment horizontal="center" shrinkToFit="1"/>
    </xf>
    <xf numFmtId="164" fontId="12" fillId="0" borderId="14" xfId="2" applyFont="1" applyFill="1" applyBorder="1" applyAlignment="1">
      <alignment horizontal="right" wrapText="1"/>
    </xf>
    <xf numFmtId="0" fontId="9" fillId="0" borderId="1" xfId="1" applyFont="1" applyBorder="1" applyAlignment="1">
      <alignment horizontal="center" wrapText="1"/>
    </xf>
    <xf numFmtId="164" fontId="9" fillId="0" borderId="3" xfId="2" applyFont="1" applyFill="1" applyBorder="1" applyAlignment="1">
      <alignment horizontal="left" wrapText="1"/>
    </xf>
    <xf numFmtId="164" fontId="9" fillId="0" borderId="2" xfId="2" applyFont="1" applyFill="1" applyBorder="1" applyAlignment="1">
      <alignment horizontal="left" wrapText="1"/>
    </xf>
    <xf numFmtId="0" fontId="9" fillId="0" borderId="3" xfId="1" applyFont="1" applyBorder="1" applyAlignment="1">
      <alignment wrapText="1"/>
    </xf>
    <xf numFmtId="164" fontId="11" fillId="0" borderId="1" xfId="2" applyFont="1" applyFill="1" applyBorder="1" applyAlignment="1">
      <alignment horizontal="left" wrapText="1"/>
    </xf>
    <xf numFmtId="0" fontId="11" fillId="0" borderId="2" xfId="1" applyFont="1" applyBorder="1" applyAlignment="1">
      <alignment horizontal="left" vertical="top"/>
    </xf>
    <xf numFmtId="0" fontId="11" fillId="0" borderId="3" xfId="1" applyFont="1" applyBorder="1" applyAlignment="1">
      <alignment wrapText="1"/>
    </xf>
    <xf numFmtId="0" fontId="9" fillId="0" borderId="12" xfId="1" applyFont="1" applyBorder="1" applyAlignment="1">
      <alignment horizontal="center" wrapText="1"/>
    </xf>
    <xf numFmtId="164" fontId="9" fillId="0" borderId="14" xfId="2" applyFont="1" applyFill="1" applyBorder="1" applyAlignment="1">
      <alignment horizontal="left" wrapText="1"/>
    </xf>
    <xf numFmtId="164" fontId="9" fillId="0" borderId="13" xfId="2" applyFont="1" applyFill="1" applyBorder="1" applyAlignment="1">
      <alignment horizontal="left" wrapText="1"/>
    </xf>
    <xf numFmtId="0" fontId="9" fillId="0" borderId="14" xfId="1" applyFont="1" applyBorder="1" applyAlignment="1">
      <alignment wrapText="1"/>
    </xf>
    <xf numFmtId="164" fontId="11" fillId="0" borderId="12" xfId="2" applyFont="1" applyFill="1" applyBorder="1" applyAlignment="1">
      <alignment horizontal="left" wrapText="1"/>
    </xf>
    <xf numFmtId="0" fontId="11" fillId="0" borderId="13" xfId="1" applyFont="1" applyBorder="1" applyAlignment="1">
      <alignment horizontal="left" vertical="top"/>
    </xf>
    <xf numFmtId="0" fontId="11" fillId="0" borderId="14" xfId="1" applyFont="1" applyBorder="1" applyAlignment="1">
      <alignment wrapText="1"/>
    </xf>
    <xf numFmtId="0" fontId="14" fillId="0" borderId="1" xfId="1" applyFont="1" applyBorder="1" applyAlignment="1">
      <alignment wrapText="1"/>
    </xf>
    <xf numFmtId="0" fontId="14" fillId="0" borderId="2" xfId="1" applyFont="1" applyBorder="1" applyAlignment="1">
      <alignment wrapText="1"/>
    </xf>
    <xf numFmtId="164" fontId="7" fillId="0" borderId="19" xfId="1" applyNumberFormat="1" applyFont="1" applyBorder="1" applyAlignment="1">
      <alignment horizontal="right" wrapText="1"/>
    </xf>
    <xf numFmtId="0" fontId="5" fillId="0" borderId="4" xfId="1" applyFont="1" applyBorder="1" applyAlignment="1">
      <alignment wrapText="1"/>
    </xf>
    <xf numFmtId="0" fontId="15" fillId="0" borderId="5" xfId="1" applyFont="1" applyBorder="1" applyAlignment="1">
      <alignment wrapText="1"/>
    </xf>
    <xf numFmtId="164" fontId="5" fillId="0" borderId="20" xfId="2" applyFont="1" applyFill="1" applyBorder="1" applyAlignment="1">
      <alignment horizontal="right" shrinkToFit="1"/>
    </xf>
    <xf numFmtId="164" fontId="5" fillId="0" borderId="6" xfId="2" applyFont="1" applyFill="1" applyBorder="1" applyAlignment="1">
      <alignment horizontal="right" shrinkToFit="1"/>
    </xf>
    <xf numFmtId="0" fontId="15" fillId="0" borderId="4" xfId="1" applyFont="1" applyBorder="1" applyAlignment="1">
      <alignment wrapText="1"/>
    </xf>
    <xf numFmtId="0" fontId="9" fillId="0" borderId="6" xfId="1" applyFont="1" applyBorder="1" applyAlignment="1">
      <alignment horizontal="right" wrapText="1"/>
    </xf>
    <xf numFmtId="0" fontId="17" fillId="0" borderId="4" xfId="1" applyFont="1" applyBorder="1" applyAlignment="1">
      <alignment wrapText="1"/>
    </xf>
    <xf numFmtId="0" fontId="14" fillId="0" borderId="12" xfId="1" applyFont="1" applyBorder="1" applyAlignment="1">
      <alignment wrapText="1"/>
    </xf>
    <xf numFmtId="0" fontId="14" fillId="0" borderId="13" xfId="1" applyFont="1" applyBorder="1" applyAlignment="1">
      <alignment wrapText="1"/>
    </xf>
    <xf numFmtId="164" fontId="7" fillId="0" borderId="14" xfId="1" applyNumberFormat="1" applyFont="1" applyBorder="1" applyAlignment="1">
      <alignment horizontal="right" wrapText="1"/>
    </xf>
    <xf numFmtId="0" fontId="19" fillId="0" borderId="29" xfId="1" applyFont="1" applyBorder="1" applyAlignment="1">
      <alignment horizontal="center" vertical="center" wrapText="1"/>
    </xf>
    <xf numFmtId="0" fontId="11" fillId="0" borderId="30" xfId="1" applyFont="1" applyBorder="1" applyAlignment="1">
      <alignment horizontal="center" vertical="center" wrapText="1"/>
    </xf>
    <xf numFmtId="14" fontId="9" fillId="0" borderId="19" xfId="1" applyNumberFormat="1" applyFont="1" applyBorder="1" applyAlignment="1">
      <alignment horizontal="center" vertical="center" wrapText="1"/>
    </xf>
    <xf numFmtId="0" fontId="21" fillId="0" borderId="0" xfId="1" applyFont="1" applyAlignment="1">
      <alignment horizontal="left" vertical="top"/>
    </xf>
    <xf numFmtId="14" fontId="0" fillId="0" borderId="0" xfId="0" applyNumberFormat="1"/>
    <xf numFmtId="0" fontId="22" fillId="0" borderId="0" xfId="0" applyFont="1"/>
    <xf numFmtId="0" fontId="0" fillId="3" borderId="35" xfId="0" applyFill="1" applyBorder="1"/>
    <xf numFmtId="0" fontId="22" fillId="3" borderId="36" xfId="0" applyFont="1" applyFill="1" applyBorder="1"/>
    <xf numFmtId="0" fontId="22" fillId="3" borderId="37" xfId="0" applyFont="1" applyFill="1" applyBorder="1"/>
    <xf numFmtId="0" fontId="0" fillId="3" borderId="38" xfId="0" applyFill="1" applyBorder="1"/>
    <xf numFmtId="0" fontId="22" fillId="3" borderId="0" xfId="0" applyFont="1" applyFill="1"/>
    <xf numFmtId="0" fontId="22" fillId="3" borderId="39" xfId="0" applyFont="1" applyFill="1" applyBorder="1"/>
    <xf numFmtId="0" fontId="22" fillId="4" borderId="35" xfId="0" applyFont="1" applyFill="1" applyBorder="1"/>
    <xf numFmtId="0" fontId="22" fillId="4" borderId="36" xfId="0" applyFont="1" applyFill="1" applyBorder="1"/>
    <xf numFmtId="0" fontId="22" fillId="4" borderId="37" xfId="0" applyFont="1" applyFill="1" applyBorder="1"/>
    <xf numFmtId="0" fontId="22" fillId="4" borderId="38" xfId="0" applyFont="1" applyFill="1" applyBorder="1"/>
    <xf numFmtId="0" fontId="22" fillId="4" borderId="0" xfId="0" applyFont="1" applyFill="1"/>
    <xf numFmtId="0" fontId="22" fillId="4" borderId="39" xfId="0" applyFont="1" applyFill="1" applyBorder="1"/>
    <xf numFmtId="0" fontId="23" fillId="4" borderId="0" xfId="0" applyFont="1" applyFill="1"/>
    <xf numFmtId="10" fontId="0" fillId="0" borderId="0" xfId="0" applyNumberFormat="1"/>
    <xf numFmtId="49" fontId="22" fillId="0" borderId="0" xfId="0" applyNumberFormat="1" applyFont="1"/>
    <xf numFmtId="1" fontId="0" fillId="0" borderId="0" xfId="0" applyNumberFormat="1"/>
    <xf numFmtId="9" fontId="0" fillId="0" borderId="0" xfId="0" applyNumberFormat="1"/>
    <xf numFmtId="0" fontId="26" fillId="6" borderId="45" xfId="0" applyFont="1" applyFill="1" applyBorder="1" applyAlignment="1">
      <alignment horizontal="center" vertical="center"/>
    </xf>
    <xf numFmtId="0" fontId="26" fillId="6" borderId="44" xfId="0" applyFont="1" applyFill="1" applyBorder="1" applyAlignment="1">
      <alignment horizontal="center" vertical="center"/>
    </xf>
    <xf numFmtId="0" fontId="26" fillId="6" borderId="43" xfId="0" applyFont="1" applyFill="1" applyBorder="1" applyAlignment="1">
      <alignment horizontal="center" vertical="center"/>
    </xf>
    <xf numFmtId="0" fontId="25" fillId="5" borderId="42" xfId="0" applyFont="1" applyFill="1" applyBorder="1" applyAlignment="1">
      <alignment horizontal="center" vertical="center"/>
    </xf>
    <xf numFmtId="0" fontId="25" fillId="5" borderId="41" xfId="0" applyFont="1" applyFill="1" applyBorder="1" applyAlignment="1">
      <alignment horizontal="center" vertical="center"/>
    </xf>
    <xf numFmtId="0" fontId="25" fillId="5" borderId="40" xfId="0" applyFont="1" applyFill="1" applyBorder="1" applyAlignment="1">
      <alignment horizontal="center" vertical="center"/>
    </xf>
    <xf numFmtId="0" fontId="25" fillId="5" borderId="39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38" xfId="0" applyFont="1" applyFill="1" applyBorder="1" applyAlignment="1">
      <alignment horizontal="center" vertical="center"/>
    </xf>
    <xf numFmtId="0" fontId="25" fillId="5" borderId="37" xfId="0" applyFont="1" applyFill="1" applyBorder="1" applyAlignment="1">
      <alignment horizontal="center" vertical="center"/>
    </xf>
    <xf numFmtId="0" fontId="25" fillId="5" borderId="36" xfId="0" applyFont="1" applyFill="1" applyBorder="1" applyAlignment="1">
      <alignment horizontal="center" vertical="center"/>
    </xf>
    <xf numFmtId="0" fontId="25" fillId="5" borderId="35" xfId="0" applyFont="1" applyFill="1" applyBorder="1" applyAlignment="1">
      <alignment horizontal="center" vertical="center"/>
    </xf>
    <xf numFmtId="0" fontId="24" fillId="5" borderId="42" xfId="0" applyFont="1" applyFill="1" applyBorder="1" applyAlignment="1">
      <alignment horizontal="center" vertical="center"/>
    </xf>
    <xf numFmtId="0" fontId="24" fillId="5" borderId="41" xfId="0" applyFont="1" applyFill="1" applyBorder="1" applyAlignment="1">
      <alignment horizontal="center" vertical="center"/>
    </xf>
    <xf numFmtId="0" fontId="24" fillId="5" borderId="40" xfId="0" applyFont="1" applyFill="1" applyBorder="1" applyAlignment="1">
      <alignment horizontal="center" vertical="center"/>
    </xf>
    <xf numFmtId="0" fontId="24" fillId="5" borderId="39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38" xfId="0" applyFont="1" applyFill="1" applyBorder="1" applyAlignment="1">
      <alignment horizontal="center" vertical="center"/>
    </xf>
    <xf numFmtId="0" fontId="24" fillId="5" borderId="37" xfId="0" applyFont="1" applyFill="1" applyBorder="1" applyAlignment="1">
      <alignment horizontal="center" vertical="center"/>
    </xf>
    <xf numFmtId="0" fontId="24" fillId="5" borderId="36" xfId="0" applyFont="1" applyFill="1" applyBorder="1" applyAlignment="1">
      <alignment horizontal="center" vertical="center"/>
    </xf>
    <xf numFmtId="0" fontId="24" fillId="5" borderId="35" xfId="0" applyFont="1" applyFill="1" applyBorder="1" applyAlignment="1">
      <alignment horizontal="center" vertical="center"/>
    </xf>
    <xf numFmtId="0" fontId="9" fillId="0" borderId="26" xfId="1" applyFont="1" applyBorder="1" applyAlignment="1">
      <alignment horizontal="center" wrapText="1"/>
    </xf>
    <xf numFmtId="0" fontId="9" fillId="0" borderId="27" xfId="1" applyFont="1" applyBorder="1" applyAlignment="1">
      <alignment horizontal="center" wrapText="1"/>
    </xf>
    <xf numFmtId="0" fontId="9" fillId="0" borderId="28" xfId="1" applyFont="1" applyBorder="1" applyAlignment="1">
      <alignment horizontal="center" wrapText="1"/>
    </xf>
    <xf numFmtId="0" fontId="6" fillId="0" borderId="26" xfId="1" applyFont="1" applyBorder="1" applyAlignment="1">
      <alignment horizontal="left"/>
    </xf>
    <xf numFmtId="0" fontId="6" fillId="0" borderId="27" xfId="1" applyFont="1" applyBorder="1" applyAlignment="1">
      <alignment horizontal="left"/>
    </xf>
    <xf numFmtId="0" fontId="6" fillId="0" borderId="28" xfId="1" applyFont="1" applyBorder="1" applyAlignment="1">
      <alignment horizontal="left"/>
    </xf>
    <xf numFmtId="0" fontId="9" fillId="0" borderId="31" xfId="1" applyFont="1" applyBorder="1" applyAlignment="1">
      <alignment horizontal="center"/>
    </xf>
    <xf numFmtId="0" fontId="9" fillId="0" borderId="30" xfId="1" applyFont="1" applyBorder="1" applyAlignment="1">
      <alignment horizontal="center"/>
    </xf>
    <xf numFmtId="0" fontId="9" fillId="0" borderId="30" xfId="1" applyFont="1" applyBorder="1" applyAlignment="1">
      <alignment horizontal="center" vertical="top" wrapText="1"/>
    </xf>
    <xf numFmtId="0" fontId="9" fillId="0" borderId="19" xfId="1" applyFont="1" applyBorder="1" applyAlignment="1">
      <alignment horizontal="center" vertical="top" wrapText="1"/>
    </xf>
    <xf numFmtId="0" fontId="20" fillId="0" borderId="32" xfId="1" applyFont="1" applyBorder="1" applyAlignment="1">
      <alignment horizontal="center" vertical="top"/>
    </xf>
    <xf numFmtId="0" fontId="20" fillId="0" borderId="33" xfId="1" applyFont="1" applyBorder="1" applyAlignment="1">
      <alignment horizontal="center" vertical="top"/>
    </xf>
    <xf numFmtId="0" fontId="20" fillId="0" borderId="34" xfId="1" applyFont="1" applyBorder="1" applyAlignment="1">
      <alignment horizontal="center" vertical="top"/>
    </xf>
    <xf numFmtId="0" fontId="13" fillId="0" borderId="10" xfId="1" applyFont="1" applyBorder="1" applyAlignment="1">
      <alignment horizontal="left"/>
    </xf>
    <xf numFmtId="0" fontId="13" fillId="0" borderId="22" xfId="1" applyFont="1" applyBorder="1" applyAlignment="1">
      <alignment horizontal="left"/>
    </xf>
    <xf numFmtId="0" fontId="9" fillId="0" borderId="10" xfId="1" applyFont="1" applyBorder="1" applyAlignment="1">
      <alignment horizontal="left"/>
    </xf>
    <xf numFmtId="0" fontId="9" fillId="0" borderId="21" xfId="1" applyFont="1" applyBorder="1" applyAlignment="1">
      <alignment horizontal="left"/>
    </xf>
    <xf numFmtId="0" fontId="9" fillId="0" borderId="22" xfId="1" applyFont="1" applyBorder="1" applyAlignment="1">
      <alignment horizontal="left"/>
    </xf>
    <xf numFmtId="0" fontId="13" fillId="0" borderId="10" xfId="1" applyFont="1" applyBorder="1" applyAlignment="1">
      <alignment horizontal="left" wrapText="1"/>
    </xf>
    <xf numFmtId="0" fontId="13" fillId="0" borderId="22" xfId="1" applyFont="1" applyBorder="1" applyAlignment="1">
      <alignment horizontal="left" wrapText="1"/>
    </xf>
    <xf numFmtId="0" fontId="13" fillId="0" borderId="23" xfId="1" applyFont="1" applyBorder="1" applyAlignment="1">
      <alignment horizontal="left"/>
    </xf>
    <xf numFmtId="0" fontId="13" fillId="0" borderId="24" xfId="1" applyFont="1" applyBorder="1" applyAlignment="1">
      <alignment horizontal="left"/>
    </xf>
    <xf numFmtId="0" fontId="11" fillId="0" borderId="25" xfId="1" applyFont="1" applyBorder="1" applyAlignment="1">
      <alignment horizontal="left"/>
    </xf>
    <xf numFmtId="0" fontId="11" fillId="0" borderId="13" xfId="1" applyFont="1" applyBorder="1" applyAlignment="1">
      <alignment horizontal="left"/>
    </xf>
    <xf numFmtId="0" fontId="11" fillId="0" borderId="14" xfId="1" applyFont="1" applyBorder="1" applyAlignment="1">
      <alignment horizontal="left"/>
    </xf>
    <xf numFmtId="0" fontId="13" fillId="0" borderId="4" xfId="1" applyFont="1" applyBorder="1" applyAlignment="1">
      <alignment horizontal="left" wrapText="1"/>
    </xf>
    <xf numFmtId="0" fontId="13" fillId="0" borderId="6" xfId="1" applyFont="1" applyBorder="1" applyAlignment="1">
      <alignment horizontal="left" wrapText="1"/>
    </xf>
    <xf numFmtId="0" fontId="11" fillId="0" borderId="11" xfId="1" applyFont="1" applyBorder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6" xfId="1" applyFont="1" applyBorder="1" applyAlignment="1">
      <alignment horizontal="left"/>
    </xf>
    <xf numFmtId="0" fontId="16" fillId="0" borderId="10" xfId="1" applyFont="1" applyBorder="1" applyAlignment="1">
      <alignment horizontal="center"/>
    </xf>
    <xf numFmtId="0" fontId="16" fillId="0" borderId="21" xfId="1" applyFont="1" applyBorder="1" applyAlignment="1">
      <alignment horizontal="center"/>
    </xf>
    <xf numFmtId="0" fontId="16" fillId="0" borderId="22" xfId="1" applyFont="1" applyBorder="1" applyAlignment="1">
      <alignment horizontal="center"/>
    </xf>
    <xf numFmtId="0" fontId="7" fillId="3" borderId="4" xfId="1" quotePrefix="1" applyFont="1" applyFill="1" applyBorder="1" applyAlignment="1">
      <alignment horizontal="left"/>
    </xf>
    <xf numFmtId="0" fontId="7" fillId="3" borderId="5" xfId="1" applyFont="1" applyFill="1" applyBorder="1" applyAlignment="1">
      <alignment horizontal="left"/>
    </xf>
    <xf numFmtId="0" fontId="7" fillId="0" borderId="5" xfId="1" applyFont="1" applyBorder="1" applyAlignment="1">
      <alignment horizontal="center"/>
    </xf>
    <xf numFmtId="0" fontId="7" fillId="0" borderId="13" xfId="1" applyFont="1" applyBorder="1" applyAlignment="1">
      <alignment horizontal="center"/>
    </xf>
    <xf numFmtId="0" fontId="9" fillId="0" borderId="5" xfId="1" applyFont="1" applyBorder="1" applyAlignment="1">
      <alignment horizontal="center" wrapText="1"/>
    </xf>
    <xf numFmtId="0" fontId="9" fillId="0" borderId="6" xfId="1" applyFont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4" xfId="1" applyFont="1" applyBorder="1" applyAlignment="1">
      <alignment horizontal="center" wrapText="1"/>
    </xf>
    <xf numFmtId="0" fontId="13" fillId="0" borderId="1" xfId="1" applyFont="1" applyBorder="1" applyAlignment="1">
      <alignment horizontal="left" wrapText="1"/>
    </xf>
    <xf numFmtId="0" fontId="13" fillId="0" borderId="3" xfId="1" applyFont="1" applyBorder="1" applyAlignment="1">
      <alignment horizontal="left" wrapText="1"/>
    </xf>
    <xf numFmtId="0" fontId="9" fillId="0" borderId="18" xfId="1" applyFont="1" applyBorder="1" applyAlignment="1">
      <alignment horizontal="left"/>
    </xf>
    <xf numFmtId="0" fontId="9" fillId="0" borderId="2" xfId="1" applyFont="1" applyBorder="1" applyAlignment="1">
      <alignment horizontal="left"/>
    </xf>
    <xf numFmtId="0" fontId="9" fillId="0" borderId="3" xfId="1" applyFont="1" applyBorder="1" applyAlignment="1">
      <alignment horizontal="left"/>
    </xf>
    <xf numFmtId="0" fontId="9" fillId="3" borderId="5" xfId="1" quotePrefix="1" applyFont="1" applyFill="1" applyBorder="1" applyAlignment="1">
      <alignment horizontal="center"/>
    </xf>
    <xf numFmtId="0" fontId="9" fillId="3" borderId="5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7" fillId="0" borderId="10" xfId="1" applyFont="1" applyBorder="1" applyAlignment="1">
      <alignment horizontal="left"/>
    </xf>
    <xf numFmtId="0" fontId="7" fillId="0" borderId="11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9" fillId="0" borderId="6" xfId="1" applyFont="1" applyBorder="1" applyAlignment="1">
      <alignment horizontal="center"/>
    </xf>
    <xf numFmtId="0" fontId="7" fillId="0" borderId="4" xfId="1" quotePrefix="1" applyFont="1" applyBorder="1" applyAlignment="1">
      <alignment horizontal="left"/>
    </xf>
    <xf numFmtId="0" fontId="7" fillId="0" borderId="5" xfId="1" applyFont="1" applyBorder="1" applyAlignment="1">
      <alignment horizontal="left"/>
    </xf>
    <xf numFmtId="14" fontId="9" fillId="3" borderId="5" xfId="1" applyNumberFormat="1" applyFont="1" applyFill="1" applyBorder="1" applyAlignment="1">
      <alignment horizontal="left" wrapText="1"/>
    </xf>
    <xf numFmtId="14" fontId="9" fillId="3" borderId="6" xfId="1" applyNumberFormat="1" applyFont="1" applyFill="1" applyBorder="1" applyAlignment="1">
      <alignment horizontal="left" wrapText="1"/>
    </xf>
    <xf numFmtId="0" fontId="4" fillId="2" borderId="1" xfId="1" applyFont="1" applyFill="1" applyBorder="1" applyAlignment="1">
      <alignment horizontal="left" vertical="center"/>
    </xf>
    <xf numFmtId="0" fontId="4" fillId="2" borderId="2" xfId="1" applyFont="1" applyFill="1" applyBorder="1" applyAlignment="1">
      <alignment horizontal="left" vertical="center"/>
    </xf>
    <xf numFmtId="0" fontId="4" fillId="2" borderId="3" xfId="1" applyFont="1" applyFill="1" applyBorder="1" applyAlignment="1">
      <alignment horizontal="left" vertical="center"/>
    </xf>
    <xf numFmtId="0" fontId="5" fillId="0" borderId="4" xfId="1" applyFont="1" applyBorder="1" applyAlignment="1">
      <alignment horizontal="left"/>
    </xf>
    <xf numFmtId="0" fontId="5" fillId="0" borderId="5" xfId="1" applyFont="1" applyBorder="1" applyAlignment="1">
      <alignment horizontal="left"/>
    </xf>
    <xf numFmtId="0" fontId="5" fillId="0" borderId="6" xfId="1" applyFont="1" applyBorder="1" applyAlignment="1">
      <alignment horizontal="left"/>
    </xf>
    <xf numFmtId="0" fontId="6" fillId="0" borderId="4" xfId="1" applyFont="1" applyBorder="1" applyAlignment="1">
      <alignment horizontal="left"/>
    </xf>
    <xf numFmtId="0" fontId="6" fillId="0" borderId="5" xfId="1" applyFont="1" applyBorder="1" applyAlignment="1">
      <alignment horizontal="left"/>
    </xf>
    <xf numFmtId="0" fontId="6" fillId="0" borderId="6" xfId="1" applyFont="1" applyBorder="1" applyAlignment="1">
      <alignment horizontal="left"/>
    </xf>
    <xf numFmtId="0" fontId="5" fillId="0" borderId="7" xfId="1" applyFont="1" applyBorder="1" applyAlignment="1">
      <alignment horizontal="left"/>
    </xf>
    <xf numFmtId="0" fontId="5" fillId="0" borderId="8" xfId="1" applyFont="1" applyBorder="1" applyAlignment="1">
      <alignment horizontal="left"/>
    </xf>
    <xf numFmtId="0" fontId="5" fillId="0" borderId="9" xfId="1" applyFont="1" applyBorder="1" applyAlignment="1">
      <alignment horizontal="left"/>
    </xf>
    <xf numFmtId="14" fontId="9" fillId="3" borderId="2" xfId="1" applyNumberFormat="1" applyFont="1" applyFill="1" applyBorder="1" applyAlignment="1">
      <alignment horizontal="left" wrapText="1"/>
    </xf>
    <xf numFmtId="14" fontId="9" fillId="3" borderId="3" xfId="1" applyNumberFormat="1" applyFont="1" applyFill="1" applyBorder="1" applyAlignment="1">
      <alignment horizontal="left" wrapText="1"/>
    </xf>
  </cellXfs>
  <cellStyles count="4">
    <cellStyle name="Comma 2" xfId="2" xr:uid="{237414E5-EF9F-419D-9A2D-5E4C6F5F4DD9}"/>
    <cellStyle name="Normal" xfId="0" builtinId="0"/>
    <cellStyle name="Normal 2" xfId="1" xr:uid="{B2E3EE55-7598-48EC-8156-A2B51B744FBB}"/>
    <cellStyle name="Percent 2" xfId="3" xr:uid="{2E6B749F-EA32-450C-B8E1-D3A6AC967CF3}"/>
  </cellStyles>
  <dxfs count="6">
    <dxf>
      <numFmt numFmtId="14" formatCode="0.00%"/>
    </dxf>
    <dxf>
      <numFmt numFmtId="0" formatCode="General"/>
    </dxf>
    <dxf>
      <numFmt numFmtId="13" formatCode="0%"/>
    </dxf>
    <dxf>
      <numFmt numFmtId="165" formatCode="m/d/yyyy"/>
    </dxf>
    <dxf>
      <numFmt numFmtId="165" formatCode="m/d/yyyy"/>
    </dxf>
    <dxf>
      <numFmt numFmtId="165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7" Type="http://schemas.openxmlformats.org/officeDocument/2006/relationships/image" Target="../media/image8.png"/><Relationship Id="rId2" Type="http://schemas.openxmlformats.org/officeDocument/2006/relationships/image" Target="../media/image3.jpg"/><Relationship Id="rId1" Type="http://schemas.openxmlformats.org/officeDocument/2006/relationships/image" Target="../media/image2.png"/><Relationship Id="rId6" Type="http://schemas.openxmlformats.org/officeDocument/2006/relationships/image" Target="../media/image7.jpg"/><Relationship Id="rId5" Type="http://schemas.openxmlformats.org/officeDocument/2006/relationships/image" Target="../media/image6.jpg"/><Relationship Id="rId4" Type="http://schemas.openxmlformats.org/officeDocument/2006/relationships/image" Target="../media/image5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6</xdr:row>
      <xdr:rowOff>0</xdr:rowOff>
    </xdr:from>
    <xdr:ext cx="853440" cy="824865"/>
    <xdr:pic macro="[0]!EmployeeShow">
      <xdr:nvPicPr>
        <xdr:cNvPr id="2" name="Picture 1">
          <a:extLst>
            <a:ext uri="{FF2B5EF4-FFF2-40B4-BE49-F238E27FC236}">
              <a16:creationId xmlns:a16="http://schemas.microsoft.com/office/drawing/2014/main" id="{95F2A356-4DA5-48DD-B9DA-DE4C78D0B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4520" y="1097280"/>
          <a:ext cx="853440" cy="824865"/>
        </a:xfrm>
        <a:prstGeom prst="rect">
          <a:avLst/>
        </a:prstGeom>
      </xdr:spPr>
    </xdr:pic>
    <xdr:clientData/>
  </xdr:oneCellAnchor>
  <xdr:oneCellAnchor>
    <xdr:from>
      <xdr:col>3</xdr:col>
      <xdr:colOff>38100</xdr:colOff>
      <xdr:row>10</xdr:row>
      <xdr:rowOff>95250</xdr:rowOff>
    </xdr:from>
    <xdr:ext cx="967740" cy="929640"/>
    <xdr:pic macro="[0]!CustomerShow">
      <xdr:nvPicPr>
        <xdr:cNvPr id="3" name="Picture 2">
          <a:extLst>
            <a:ext uri="{FF2B5EF4-FFF2-40B4-BE49-F238E27FC236}">
              <a16:creationId xmlns:a16="http://schemas.microsoft.com/office/drawing/2014/main" id="{FF4A1052-1F99-45E5-B28A-5228A518E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924050"/>
          <a:ext cx="967740" cy="929640"/>
        </a:xfrm>
        <a:prstGeom prst="rect">
          <a:avLst/>
        </a:prstGeom>
      </xdr:spPr>
    </xdr:pic>
    <xdr:clientData/>
  </xdr:oneCellAnchor>
  <xdr:oneCellAnchor>
    <xdr:from>
      <xdr:col>3</xdr:col>
      <xdr:colOff>38100</xdr:colOff>
      <xdr:row>15</xdr:row>
      <xdr:rowOff>0</xdr:rowOff>
    </xdr:from>
    <xdr:ext cx="967740" cy="929640"/>
    <xdr:pic macro="[0]!VendorShow">
      <xdr:nvPicPr>
        <xdr:cNvPr id="4" name="Picture 3">
          <a:extLst>
            <a:ext uri="{FF2B5EF4-FFF2-40B4-BE49-F238E27FC236}">
              <a16:creationId xmlns:a16="http://schemas.microsoft.com/office/drawing/2014/main" id="{F8DE4CC2-5B95-4D51-869F-71B2180B3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43200"/>
          <a:ext cx="967740" cy="929640"/>
        </a:xfrm>
        <a:prstGeom prst="rect">
          <a:avLst/>
        </a:prstGeom>
      </xdr:spPr>
    </xdr:pic>
    <xdr:clientData/>
  </xdr:oneCellAnchor>
  <xdr:oneCellAnchor>
    <xdr:from>
      <xdr:col>12</xdr:col>
      <xdr:colOff>28575</xdr:colOff>
      <xdr:row>7</xdr:row>
      <xdr:rowOff>0</xdr:rowOff>
    </xdr:from>
    <xdr:ext cx="948690" cy="920115"/>
    <xdr:pic macro="[0]!OpenSalesInvoice">
      <xdr:nvPicPr>
        <xdr:cNvPr id="5" name="Picture 4">
          <a:extLst>
            <a:ext uri="{FF2B5EF4-FFF2-40B4-BE49-F238E27FC236}">
              <a16:creationId xmlns:a16="http://schemas.microsoft.com/office/drawing/2014/main" id="{DD135D75-C1C8-4FAE-B6FA-12037DAE7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6655" y="1280160"/>
          <a:ext cx="948690" cy="920115"/>
        </a:xfrm>
        <a:prstGeom prst="rect">
          <a:avLst/>
        </a:prstGeom>
      </xdr:spPr>
    </xdr:pic>
    <xdr:clientData/>
  </xdr:oneCellAnchor>
  <xdr:oneCellAnchor>
    <xdr:from>
      <xdr:col>12</xdr:col>
      <xdr:colOff>28575</xdr:colOff>
      <xdr:row>12</xdr:row>
      <xdr:rowOff>104775</xdr:rowOff>
    </xdr:from>
    <xdr:ext cx="967740" cy="946785"/>
    <xdr:pic macro="[0]!PurchaseShow">
      <xdr:nvPicPr>
        <xdr:cNvPr id="6" name="Picture 5">
          <a:extLst>
            <a:ext uri="{FF2B5EF4-FFF2-40B4-BE49-F238E27FC236}">
              <a16:creationId xmlns:a16="http://schemas.microsoft.com/office/drawing/2014/main" id="{AEBB6C97-38C4-4979-90E6-4E8CFE97E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6655" y="2299335"/>
          <a:ext cx="967740" cy="946785"/>
        </a:xfrm>
        <a:prstGeom prst="rect">
          <a:avLst/>
        </a:prstGeom>
      </xdr:spPr>
    </xdr:pic>
    <xdr:clientData/>
  </xdr:oneCellAnchor>
  <xdr:oneCellAnchor>
    <xdr:from>
      <xdr:col>19</xdr:col>
      <xdr:colOff>511875</xdr:colOff>
      <xdr:row>6</xdr:row>
      <xdr:rowOff>0</xdr:rowOff>
    </xdr:from>
    <xdr:ext cx="952500" cy="939165"/>
    <xdr:pic macro="[0]!CloseWB">
      <xdr:nvPicPr>
        <xdr:cNvPr id="7" name="Picture 6">
          <a:extLst>
            <a:ext uri="{FF2B5EF4-FFF2-40B4-BE49-F238E27FC236}">
              <a16:creationId xmlns:a16="http://schemas.microsoft.com/office/drawing/2014/main" id="{9B7B7F96-7D5E-46C7-A673-4B2387FF2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3835" y="1097280"/>
          <a:ext cx="952500" cy="939165"/>
        </a:xfrm>
        <a:prstGeom prst="rect">
          <a:avLst/>
        </a:prstGeom>
      </xdr:spPr>
    </xdr:pic>
    <xdr:clientData/>
  </xdr:oneCellAnchor>
  <xdr:oneCellAnchor>
    <xdr:from>
      <xdr:col>19</xdr:col>
      <xdr:colOff>533325</xdr:colOff>
      <xdr:row>13</xdr:row>
      <xdr:rowOff>0</xdr:rowOff>
    </xdr:from>
    <xdr:ext cx="931050" cy="925335"/>
    <xdr:pic macro="[0]!OpenPDFFile">
      <xdr:nvPicPr>
        <xdr:cNvPr id="8" name="Picture 7">
          <a:extLst>
            <a:ext uri="{FF2B5EF4-FFF2-40B4-BE49-F238E27FC236}">
              <a16:creationId xmlns:a16="http://schemas.microsoft.com/office/drawing/2014/main" id="{00743FD4-C889-4E06-A4A0-C70714197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05285" y="2377440"/>
          <a:ext cx="931050" cy="92533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8</xdr:row>
      <xdr:rowOff>0</xdr:rowOff>
    </xdr:from>
    <xdr:to>
      <xdr:col>9</xdr:col>
      <xdr:colOff>314325</xdr:colOff>
      <xdr:row>9</xdr:row>
      <xdr:rowOff>219075</xdr:rowOff>
    </xdr:to>
    <xdr:sp macro="[0]!Update" textlink="">
      <xdr:nvSpPr>
        <xdr:cNvPr id="2" name="Oval 1">
          <a:extLst>
            <a:ext uri="{FF2B5EF4-FFF2-40B4-BE49-F238E27FC236}">
              <a16:creationId xmlns:a16="http://schemas.microsoft.com/office/drawing/2014/main" id="{1689ECB8-1134-4E7F-8391-55D6CE61734E}"/>
            </a:ext>
          </a:extLst>
        </xdr:cNvPr>
        <xdr:cNvSpPr/>
      </xdr:nvSpPr>
      <xdr:spPr>
        <a:xfrm>
          <a:off x="14304645" y="2468880"/>
          <a:ext cx="1722120" cy="539115"/>
        </a:xfrm>
        <a:prstGeom prst="ellipse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UPDATE</a:t>
          </a:r>
        </a:p>
      </xdr:txBody>
    </xdr:sp>
    <xdr:clientData/>
  </xdr:twoCellAnchor>
  <xdr:twoCellAnchor editAs="oneCell">
    <xdr:from>
      <xdr:col>4</xdr:col>
      <xdr:colOff>733425</xdr:colOff>
      <xdr:row>39</xdr:row>
      <xdr:rowOff>437545</xdr:rowOff>
    </xdr:from>
    <xdr:to>
      <xdr:col>6</xdr:col>
      <xdr:colOff>882650</xdr:colOff>
      <xdr:row>39</xdr:row>
      <xdr:rowOff>1507531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E424E83-2293-4AEF-9AF9-99C9C0AC8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0185" y="16111885"/>
          <a:ext cx="2900045" cy="10699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19050</xdr:rowOff>
    </xdr:from>
    <xdr:to>
      <xdr:col>6</xdr:col>
      <xdr:colOff>190500</xdr:colOff>
      <xdr:row>5</xdr:row>
      <xdr:rowOff>141142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92EAB7-B953-4F31-B2AB-917EB21E7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1308080" cy="1760392"/>
        </a:xfrm>
        <a:prstGeom prst="rect">
          <a:avLst/>
        </a:prstGeom>
      </xdr:spPr>
    </xdr:pic>
    <xdr:clientData/>
  </xdr:twoCellAnchor>
  <xdr:twoCellAnchor>
    <xdr:from>
      <xdr:col>8</xdr:col>
      <xdr:colOff>266700</xdr:colOff>
      <xdr:row>13</xdr:row>
      <xdr:rowOff>342900</xdr:rowOff>
    </xdr:from>
    <xdr:to>
      <xdr:col>9</xdr:col>
      <xdr:colOff>485775</xdr:colOff>
      <xdr:row>15</xdr:row>
      <xdr:rowOff>266700</xdr:rowOff>
    </xdr:to>
    <xdr:sp macro="[0]!SAVEActiveSheet" textlink="">
      <xdr:nvSpPr>
        <xdr:cNvPr id="5" name="Oval 4">
          <a:extLst>
            <a:ext uri="{FF2B5EF4-FFF2-40B4-BE49-F238E27FC236}">
              <a16:creationId xmlns:a16="http://schemas.microsoft.com/office/drawing/2014/main" id="{1C47A59F-98F3-4899-8C52-8672CE51D05B}"/>
            </a:ext>
          </a:extLst>
        </xdr:cNvPr>
        <xdr:cNvSpPr/>
      </xdr:nvSpPr>
      <xdr:spPr>
        <a:xfrm>
          <a:off x="14371320" y="4777740"/>
          <a:ext cx="1826895" cy="937260"/>
        </a:xfrm>
        <a:prstGeom prst="ellipse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>
              <a:latin typeface="Times New Roman" panose="02020603050405020304" pitchFamily="18" charset="0"/>
              <a:cs typeface="Times New Roman" panose="02020603050405020304" pitchFamily="18" charset="0"/>
            </a:rPr>
            <a:t>SAVE </a:t>
          </a:r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INVOICE</a:t>
          </a:r>
        </a:p>
        <a:p>
          <a:pPr algn="l"/>
          <a:endParaRPr lang="en-IN" sz="1100"/>
        </a:p>
      </xdr:txBody>
    </xdr:sp>
    <xdr:clientData/>
  </xdr:twoCellAnchor>
  <xdr:twoCellAnchor>
    <xdr:from>
      <xdr:col>8</xdr:col>
      <xdr:colOff>209550</xdr:colOff>
      <xdr:row>10</xdr:row>
      <xdr:rowOff>476250</xdr:rowOff>
    </xdr:from>
    <xdr:to>
      <xdr:col>9</xdr:col>
      <xdr:colOff>428625</xdr:colOff>
      <xdr:row>13</xdr:row>
      <xdr:rowOff>0</xdr:rowOff>
    </xdr:to>
    <xdr:sp macro="[0]!PDFActiveSheet" textlink="">
      <xdr:nvSpPr>
        <xdr:cNvPr id="6" name="Oval 5">
          <a:extLst>
            <a:ext uri="{FF2B5EF4-FFF2-40B4-BE49-F238E27FC236}">
              <a16:creationId xmlns:a16="http://schemas.microsoft.com/office/drawing/2014/main" id="{367318AB-5B8C-4B18-AD63-22F0130B3136}"/>
            </a:ext>
          </a:extLst>
        </xdr:cNvPr>
        <xdr:cNvSpPr/>
      </xdr:nvSpPr>
      <xdr:spPr>
        <a:xfrm>
          <a:off x="14314170" y="3493770"/>
          <a:ext cx="1826895" cy="1055370"/>
        </a:xfrm>
        <a:prstGeom prst="ellipse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>
              <a:latin typeface="Times New Roman" panose="02020603050405020304" pitchFamily="18" charset="0"/>
              <a:cs typeface="Times New Roman" panose="02020603050405020304" pitchFamily="18" charset="0"/>
            </a:rPr>
            <a:t>SAVE AS PDF</a:t>
          </a:r>
        </a:p>
        <a:p>
          <a:pPr algn="l"/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DB8799-26B1-41C9-A860-0D1E3C72E877}" name="Table1" displayName="Table1" ref="A1:J1048576" totalsRowShown="0">
  <autoFilter ref="A1:J1048576" xr:uid="{56DB8799-26B1-41C9-A860-0D1E3C72E877}"/>
  <tableColumns count="10">
    <tableColumn id="1" xr3:uid="{6E377C28-B7EA-44D7-A572-78BF55EDEC17}" name="ID"/>
    <tableColumn id="2" xr3:uid="{D1D20BCD-5520-46FA-B55C-3B87794944AB}" name="Name"/>
    <tableColumn id="3" xr3:uid="{C576B170-C718-4A5A-A7F7-7D75CE7FEDB5}" name="Mobile Number"/>
    <tableColumn id="4" xr3:uid="{11AE621A-A7DB-40B6-8D14-A211358032F6}" name="Email ID"/>
    <tableColumn id="5" xr3:uid="{8BE2F8E9-7E91-4070-A08F-5DE51E9BF86F}" name="Address"/>
    <tableColumn id="6" xr3:uid="{BC423764-8E27-4C56-9B09-7F61E59FEB88}" name="Date of Birth" dataDxfId="5"/>
    <tableColumn id="7" xr3:uid="{6969BD19-BD22-44CD-90F6-B147B9F84233}" name="Date of Joining" dataDxfId="4"/>
    <tableColumn id="8" xr3:uid="{41D0DE4D-69C7-4921-86B0-5572000D824F}" name="Gender"/>
    <tableColumn id="9" xr3:uid="{F48D46D9-86B4-439C-9166-38A9FB05F32D}" name="Department"/>
    <tableColumn id="10" xr3:uid="{C3912DE8-29DF-45A7-A816-055E83F0C4B1}" name="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D2FD7C-12EB-4812-BFB6-159B486F5731}" name="customertable" displayName="customertable" ref="A1:I1048576" totalsRowShown="0">
  <autoFilter ref="A1:I1048576" xr:uid="{C2D2FD7C-12EB-4812-BFB6-159B486F5731}"/>
  <tableColumns count="9">
    <tableColumn id="1" xr3:uid="{85C79260-3C94-4673-B89B-F8C1EA07886C}" name="ID"/>
    <tableColumn id="2" xr3:uid="{EBD07347-7E08-4E35-B949-EE8A9EDB24BB}" name="Business Name"/>
    <tableColumn id="3" xr3:uid="{204FF9F5-AF92-452E-8BA8-A6D368F0EE31}" name="Shop Name / Brand Name"/>
    <tableColumn id="4" xr3:uid="{5C404FF8-84E3-4EA1-B5D0-18E61EFB91CC}" name="Source of Contact"/>
    <tableColumn id="5" xr3:uid="{DEF78C66-44E0-47CE-823D-DB4779416DA9}" name="Contact Person"/>
    <tableColumn id="6" xr3:uid="{45ABBE76-DD3C-46E8-A9E6-1DEACD5566C2}" name="Contact Person Mobile Number"/>
    <tableColumn id="7" xr3:uid="{D0CD971B-B94C-4B48-958A-1BE17796B64A}" name="Email ID"/>
    <tableColumn id="8" xr3:uid="{4D23F47F-19DE-41F9-BD76-C6CB2FBE0361}" name="Address"/>
    <tableColumn id="9" xr3:uid="{46FFA8AB-E1A8-4C76-92FB-901F09934391}" name="GST Nu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BE5242-92DE-4B99-B40A-D51758B88EF4}" name="vendortable" displayName="vendortable" ref="A1:H1048576" totalsRowShown="0">
  <autoFilter ref="A1:H1048576" xr:uid="{16BE5242-92DE-4B99-B40A-D51758B88EF4}"/>
  <tableColumns count="8">
    <tableColumn id="1" xr3:uid="{9BA80B3C-49FB-4FF0-A602-4C8AADB65903}" name="ID"/>
    <tableColumn id="2" xr3:uid="{C1B53AA3-50FA-426B-97AF-3609534E22F3}" name="Name"/>
    <tableColumn id="3" xr3:uid="{86EA2740-CF9F-4AED-90B0-6512B8CA66A6}" name="Address"/>
    <tableColumn id="4" xr3:uid="{FB021D62-BBB5-4474-BF2C-D6AF47314434}" name="State"/>
    <tableColumn id="5" xr3:uid="{A592CF5E-47A6-47D8-AD15-95E84D9E0768}" name="Contact Person Name"/>
    <tableColumn id="6" xr3:uid="{CEAABBA2-3CEC-424F-8AFE-7A12B2EE10CB}" name="Contact Person Mobile Number"/>
    <tableColumn id="7" xr3:uid="{F3E3AB9C-67B9-44CB-8B4B-978E0534EFF6}" name="Email ID "/>
    <tableColumn id="8" xr3:uid="{E474D2E9-D4CB-4169-A0B5-10FF80241260}" name="GST Numb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9397CD-0EDC-4B26-9579-08F30F0BE864}" name="Table5" displayName="Table5" ref="B1:T1048573" totalsRowShown="0">
  <autoFilter ref="B1:T1048573" xr:uid="{4B9397CD-0EDC-4B26-9579-08F30F0BE864}"/>
  <tableColumns count="19">
    <tableColumn id="1" xr3:uid="{DC65A33A-4C85-492E-9449-4208B07DCD9E}" name="Invoice No."/>
    <tableColumn id="2" xr3:uid="{8049C71D-7220-4B32-BE0F-13BB191690BA}" name="Invoice Date" dataDxfId="3"/>
    <tableColumn id="3" xr3:uid="{3998BE47-DB9A-47C9-B948-949FB38D4B25}" name="Customer Name"/>
    <tableColumn id="4" xr3:uid="{5A441384-7BA1-42A1-9DC8-06DFEF7CE62C}" name="GSTCode"/>
    <tableColumn id="5" xr3:uid="{812C1BE6-5C46-4DA8-825D-D2A290E54265}" name="Product Description"/>
    <tableColumn id="6" xr3:uid="{066BE5E6-4D38-47B4-82ED-8C7DECA673E3}" name="Quantity"/>
    <tableColumn id="7" xr3:uid="{4D0C02FE-212F-49A1-8F73-65A83D786792}" name="UOM"/>
    <tableColumn id="8" xr3:uid="{A6B28FEE-BEE8-4754-A2B5-A53C3831165A}" name="Rate"/>
    <tableColumn id="9" xr3:uid="{38FD8350-0176-4170-8F19-7D36633375D4}" name="HSN Code"/>
    <tableColumn id="10" xr3:uid="{911202D5-A25A-43B1-89A1-09FEBAD2BD7B}" name="GST %" dataDxfId="2"/>
    <tableColumn id="11" xr3:uid="{E6AE2E1C-B237-4A3D-B349-8FDDFED80145}" name="IGST %"/>
    <tableColumn id="12" xr3:uid="{F0956493-EE31-4CE2-B54E-179EAF4E17F8}" name="Basic Value"/>
    <tableColumn id="13" xr3:uid="{AFF36393-8679-4E99-AC09-2906EADD46EB}" name="SGST"/>
    <tableColumn id="14" xr3:uid="{A754662C-1F24-4961-914A-BEF7DB21293C}" name="CGST"/>
    <tableColumn id="15" xr3:uid="{EB91A750-676E-49D8-8EB9-C21CD9E1B0B4}" name="IGST"/>
    <tableColumn id="16" xr3:uid="{1A359164-3F57-452C-A462-1778FE1E8621}" name="Other Charges"/>
    <tableColumn id="17" xr3:uid="{955D71C2-B3DC-4B11-999D-4263A724CBA5}" name="Total Value"/>
    <tableColumn id="18" xr3:uid="{4BF18982-EB11-4183-AFCA-F8B4B9E8D03A}" name="User"/>
    <tableColumn id="19" xr3:uid="{AAFE0289-A21C-44A8-A5DE-20F7AA38562F}" name="Time Stamp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47F904-D740-42BD-9E11-F49A6DFDCDC8}" name="purchasetable" displayName="purchasetable" ref="B1:M1048576" totalsRowShown="0">
  <autoFilter ref="B1:M1048576" xr:uid="{2747F904-D740-42BD-9E11-F49A6DFDCDC8}"/>
  <tableColumns count="12">
    <tableColumn id="1" xr3:uid="{4BC17BDF-2128-48A3-9A4E-6EED3D547E89}" name="Invoice Number"/>
    <tableColumn id="2" xr3:uid="{7AA384A3-D5DF-4C73-B77C-47802A4D9559}" name="Invoice Date"/>
    <tableColumn id="3" xr3:uid="{891BDE22-6FA4-4CD2-AFBD-C8E201F42544}" name="Vendor Name "/>
    <tableColumn id="4" xr3:uid="{F6976233-0849-4E90-95DE-C1FED8C5AF36}" name="GST Number" dataDxfId="1">
      <calculatedColumnFormula>VLOOKUP(purchasetable[[#This Row],[Vendor Name ]],vendortable[],2,0)</calculatedColumnFormula>
    </tableColumn>
    <tableColumn id="5" xr3:uid="{BDD759C3-4090-4E38-8C8E-C327745F1167}" name="Product Description"/>
    <tableColumn id="6" xr3:uid="{F8E346B3-D4E0-4C34-94A7-C624B94A73B1}" name="Quantity"/>
    <tableColumn id="7" xr3:uid="{3EBBC896-C106-4112-A315-0BC35279C4A7}" name="Rate"/>
    <tableColumn id="8" xr3:uid="{04650AD7-F044-4A18-A9E5-CE4D4882ED64}" name="GST %" dataDxfId="0"/>
    <tableColumn id="9" xr3:uid="{12E2C376-7968-425F-BA3E-1A5CF5A98A20}" name="Basic Value"/>
    <tableColumn id="10" xr3:uid="{2CD2C22A-A9CC-4DC6-849F-5746E919C8F2}" name="SGST "/>
    <tableColumn id="11" xr3:uid="{83EE3FAB-061F-4FF7-86E7-28E5C3D44CEB}" name="CGST"/>
    <tableColumn id="12" xr3:uid="{BDD61884-C137-4B23-8FF4-783EAB2E5A1F}" name="Total 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dkenterprises8@yahoo.o.in" TargetMode="External"/><Relationship Id="rId1" Type="http://schemas.openxmlformats.org/officeDocument/2006/relationships/hyperlink" Target="mailto:info@sheetalsales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B27E3-3B45-40E5-90BF-D0208389A7ED}">
  <sheetPr codeName="Sheet1"/>
  <dimension ref="A1"/>
  <sheetViews>
    <sheetView showGridLines="0" showRowColHeaders="0" tabSelected="1" topLeftCell="A5" zoomScale="72" zoomScaleNormal="100" workbookViewId="0">
      <selection activeCell="G33" sqref="G33"/>
    </sheetView>
  </sheetViews>
  <sheetFormatPr defaultRowHeight="14.4" x14ac:dyDescent="0.3"/>
  <sheetData/>
  <pageMargins left="0.7" right="0.7" top="0.75" bottom="0.75" header="0.3" footer="0.3"/>
  <pageSetup paperSize="9" fitToWidth="0" fitToHeight="0" orientation="portrait" verticalDpi="1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449D9-EE95-4C4A-A1F1-793AF4D82989}">
  <sheetPr codeName="Sheet8"/>
  <dimension ref="B1:AS45"/>
  <sheetViews>
    <sheetView showGridLines="0" showRowColHeaders="0" zoomScale="90" zoomScaleNormal="90" workbookViewId="0">
      <selection activeCell="U15" sqref="U15"/>
    </sheetView>
  </sheetViews>
  <sheetFormatPr defaultColWidth="9.109375" defaultRowHeight="13.8" x14ac:dyDescent="0.25"/>
  <cols>
    <col min="1" max="1" width="3.88671875" style="70" customWidth="1"/>
    <col min="2" max="5" width="9.109375" style="70"/>
    <col min="6" max="6" width="4.6640625" style="70" customWidth="1"/>
    <col min="7" max="10" width="9.109375" style="70"/>
    <col min="11" max="11" width="5.109375" style="70" customWidth="1"/>
    <col min="12" max="13" width="9.109375" style="70"/>
    <col min="14" max="14" width="8.44140625" style="70" customWidth="1"/>
    <col min="15" max="15" width="6.33203125" style="70" customWidth="1"/>
    <col min="16" max="18" width="9.109375" style="70"/>
    <col min="19" max="19" width="6" style="70" customWidth="1"/>
    <col min="20" max="20" width="31.109375" style="70" customWidth="1"/>
    <col min="21" max="16384" width="9.109375" style="70"/>
  </cols>
  <sheetData>
    <row r="1" spans="2:45" ht="9.75" customHeight="1" thickBot="1" x14ac:dyDescent="0.3"/>
    <row r="2" spans="2:45" ht="57.75" customHeight="1" thickBot="1" x14ac:dyDescent="0.3">
      <c r="B2" s="88" t="s">
        <v>190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90"/>
    </row>
    <row r="3" spans="2:45" ht="15" thickBot="1" x14ac:dyDescent="0.35">
      <c r="B3" s="76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4"/>
    </row>
    <row r="4" spans="2:45" ht="14.4" x14ac:dyDescent="0.3">
      <c r="B4" s="76"/>
      <c r="C4" s="91" t="s">
        <v>189</v>
      </c>
      <c r="D4" s="92"/>
      <c r="E4" s="92"/>
      <c r="F4" s="92"/>
      <c r="G4" s="92"/>
      <c r="H4" s="92"/>
      <c r="I4" s="92"/>
      <c r="J4" s="93"/>
      <c r="K4" s="75"/>
      <c r="L4" s="100" t="s">
        <v>188</v>
      </c>
      <c r="M4" s="101"/>
      <c r="N4" s="101"/>
      <c r="O4" s="101"/>
      <c r="P4" s="101"/>
      <c r="Q4" s="101"/>
      <c r="R4" s="101"/>
      <c r="S4" s="102"/>
      <c r="T4" s="74"/>
    </row>
    <row r="5" spans="2:45" ht="14.4" x14ac:dyDescent="0.3">
      <c r="B5" s="76"/>
      <c r="C5" s="94"/>
      <c r="D5" s="95"/>
      <c r="E5" s="95"/>
      <c r="F5" s="95"/>
      <c r="G5" s="95"/>
      <c r="H5" s="95"/>
      <c r="I5" s="95"/>
      <c r="J5" s="96"/>
      <c r="K5" s="75"/>
      <c r="L5" s="103"/>
      <c r="M5" s="104"/>
      <c r="N5" s="104"/>
      <c r="O5" s="104"/>
      <c r="P5" s="104"/>
      <c r="Q5" s="104"/>
      <c r="R5" s="104"/>
      <c r="S5" s="105"/>
      <c r="T5" s="74"/>
    </row>
    <row r="6" spans="2:45" ht="15" thickBot="1" x14ac:dyDescent="0.35">
      <c r="B6" s="76"/>
      <c r="C6" s="97"/>
      <c r="D6" s="98"/>
      <c r="E6" s="98"/>
      <c r="F6" s="98"/>
      <c r="G6" s="98"/>
      <c r="H6" s="98"/>
      <c r="I6" s="98"/>
      <c r="J6" s="99"/>
      <c r="K6" s="75"/>
      <c r="L6" s="106"/>
      <c r="M6" s="107"/>
      <c r="N6" s="107"/>
      <c r="O6" s="107"/>
      <c r="P6" s="107"/>
      <c r="Q6" s="107"/>
      <c r="R6" s="107"/>
      <c r="S6" s="108"/>
      <c r="T6" s="74"/>
    </row>
    <row r="7" spans="2:45" ht="14.4" x14ac:dyDescent="0.3">
      <c r="B7" s="76"/>
      <c r="C7" s="82"/>
      <c r="D7" s="81"/>
      <c r="E7" s="81"/>
      <c r="F7" s="81"/>
      <c r="G7" s="81"/>
      <c r="H7" s="81"/>
      <c r="I7" s="81"/>
      <c r="J7" s="80"/>
      <c r="K7" s="75"/>
      <c r="L7" s="82"/>
      <c r="M7" s="81"/>
      <c r="N7" s="81"/>
      <c r="O7" s="81"/>
      <c r="P7" s="81"/>
      <c r="Q7" s="81"/>
      <c r="R7" s="81"/>
      <c r="S7" s="80"/>
      <c r="T7" s="74"/>
    </row>
    <row r="8" spans="2:45" ht="14.4" x14ac:dyDescent="0.3">
      <c r="B8" s="76"/>
      <c r="C8" s="82"/>
      <c r="D8" s="81"/>
      <c r="E8" s="81"/>
      <c r="F8" s="81"/>
      <c r="G8" s="81"/>
      <c r="H8" s="81"/>
      <c r="I8" s="81"/>
      <c r="J8" s="80"/>
      <c r="K8" s="75"/>
      <c r="L8" s="82"/>
      <c r="M8" s="81"/>
      <c r="N8" s="81"/>
      <c r="O8" s="81"/>
      <c r="P8" s="81"/>
      <c r="Q8" s="81"/>
      <c r="R8" s="81"/>
      <c r="S8" s="80"/>
      <c r="T8" s="74"/>
    </row>
    <row r="9" spans="2:45" ht="21" x14ac:dyDescent="0.4">
      <c r="B9" s="76"/>
      <c r="C9" s="82"/>
      <c r="D9" s="81"/>
      <c r="E9" s="81"/>
      <c r="F9" s="81"/>
      <c r="G9" s="83" t="s">
        <v>187</v>
      </c>
      <c r="H9" s="81"/>
      <c r="I9" s="81"/>
      <c r="J9" s="80"/>
      <c r="K9" s="75"/>
      <c r="L9" s="82"/>
      <c r="M9" s="81"/>
      <c r="N9" s="81"/>
      <c r="O9" s="81"/>
      <c r="P9" s="83" t="s">
        <v>186</v>
      </c>
      <c r="Q9" s="81"/>
      <c r="R9" s="81"/>
      <c r="S9" s="80"/>
      <c r="T9" s="74"/>
    </row>
    <row r="10" spans="2:45" ht="14.4" x14ac:dyDescent="0.3">
      <c r="B10" s="76"/>
      <c r="C10" s="82"/>
      <c r="D10" s="81"/>
      <c r="E10" s="81"/>
      <c r="F10" s="81"/>
      <c r="G10" s="81"/>
      <c r="H10" s="81"/>
      <c r="I10" s="81"/>
      <c r="J10" s="80"/>
      <c r="K10" s="75"/>
      <c r="L10" s="82"/>
      <c r="M10" s="81"/>
      <c r="N10" s="81"/>
      <c r="O10" s="81"/>
      <c r="P10" s="81"/>
      <c r="Q10" s="81"/>
      <c r="R10" s="81"/>
      <c r="S10" s="80"/>
      <c r="T10" s="74"/>
      <c r="AP10" t="s">
        <v>7</v>
      </c>
      <c r="AQ10" t="s">
        <v>360</v>
      </c>
      <c r="AS10" t="s">
        <v>25</v>
      </c>
    </row>
    <row r="11" spans="2:45" ht="14.4" x14ac:dyDescent="0.3">
      <c r="B11" s="76"/>
      <c r="C11" s="82"/>
      <c r="D11" s="81"/>
      <c r="E11" s="81"/>
      <c r="F11" s="81"/>
      <c r="G11" s="81"/>
      <c r="H11" s="81"/>
      <c r="I11" s="81"/>
      <c r="J11" s="80"/>
      <c r="K11" s="75"/>
      <c r="L11" s="82"/>
      <c r="M11" s="81"/>
      <c r="N11" s="81"/>
      <c r="O11" s="81"/>
      <c r="P11" s="81"/>
      <c r="Q11" s="81"/>
      <c r="R11" s="81"/>
      <c r="S11" s="80"/>
      <c r="T11" s="74"/>
      <c r="AP11" t="s">
        <v>8</v>
      </c>
      <c r="AQ11" t="s">
        <v>361</v>
      </c>
      <c r="AS11" t="s">
        <v>26</v>
      </c>
    </row>
    <row r="12" spans="2:45" ht="14.4" x14ac:dyDescent="0.3">
      <c r="B12" s="76"/>
      <c r="C12" s="82"/>
      <c r="D12" s="81"/>
      <c r="E12" s="81"/>
      <c r="F12" s="81"/>
      <c r="G12" s="81"/>
      <c r="H12" s="81"/>
      <c r="I12" s="81"/>
      <c r="J12" s="80"/>
      <c r="K12" s="75"/>
      <c r="L12" s="82"/>
      <c r="M12" s="81"/>
      <c r="N12" s="81"/>
      <c r="O12" s="81"/>
      <c r="P12" s="81"/>
      <c r="Q12" s="81"/>
      <c r="R12" s="81"/>
      <c r="S12" s="80"/>
      <c r="T12" s="74"/>
      <c r="AP12" t="s">
        <v>9</v>
      </c>
      <c r="AQ12" t="s">
        <v>362</v>
      </c>
      <c r="AS12" t="s">
        <v>27</v>
      </c>
    </row>
    <row r="13" spans="2:45" ht="33" customHeight="1" x14ac:dyDescent="0.4">
      <c r="B13" s="76"/>
      <c r="C13" s="82"/>
      <c r="D13" s="81"/>
      <c r="E13" s="81"/>
      <c r="F13" s="81"/>
      <c r="G13" s="83" t="s">
        <v>185</v>
      </c>
      <c r="H13" s="81"/>
      <c r="I13" s="81"/>
      <c r="J13" s="80"/>
      <c r="K13" s="75"/>
      <c r="L13" s="82"/>
      <c r="M13" s="81"/>
      <c r="N13" s="81"/>
      <c r="O13" s="81"/>
      <c r="P13" s="83"/>
      <c r="Q13" s="81"/>
      <c r="R13" s="81"/>
      <c r="S13" s="80"/>
      <c r="T13" s="74"/>
      <c r="AP13" t="s">
        <v>10</v>
      </c>
      <c r="AQ13" t="s">
        <v>12</v>
      </c>
      <c r="AS13" t="s">
        <v>28</v>
      </c>
    </row>
    <row r="14" spans="2:45" ht="14.4" x14ac:dyDescent="0.3">
      <c r="B14" s="76"/>
      <c r="C14" s="82"/>
      <c r="D14" s="81"/>
      <c r="E14" s="81"/>
      <c r="F14" s="81"/>
      <c r="G14" s="81"/>
      <c r="H14" s="81"/>
      <c r="I14" s="81"/>
      <c r="J14" s="80"/>
      <c r="K14" s="75"/>
      <c r="L14" s="82"/>
      <c r="M14" s="81"/>
      <c r="N14" s="81"/>
      <c r="O14" s="81"/>
      <c r="P14" s="81"/>
      <c r="Q14" s="81"/>
      <c r="R14" s="81"/>
      <c r="S14" s="80"/>
      <c r="T14" s="74"/>
      <c r="AP14" t="s">
        <v>11</v>
      </c>
      <c r="AQ14" t="s">
        <v>363</v>
      </c>
      <c r="AS14" t="s">
        <v>29</v>
      </c>
    </row>
    <row r="15" spans="2:45" ht="21" x14ac:dyDescent="0.4">
      <c r="B15" s="76"/>
      <c r="C15" s="82"/>
      <c r="D15" s="81"/>
      <c r="E15" s="81"/>
      <c r="F15" s="81"/>
      <c r="G15" s="81"/>
      <c r="H15" s="81"/>
      <c r="I15" s="81"/>
      <c r="J15" s="80"/>
      <c r="K15" s="75"/>
      <c r="L15" s="82"/>
      <c r="M15" s="81"/>
      <c r="N15" s="81"/>
      <c r="O15" s="81"/>
      <c r="P15" s="83" t="s">
        <v>184</v>
      </c>
      <c r="Q15" s="81"/>
      <c r="R15" s="81"/>
      <c r="S15" s="80"/>
      <c r="T15" s="74"/>
      <c r="AQ15" t="s">
        <v>364</v>
      </c>
    </row>
    <row r="16" spans="2:45" ht="14.4" x14ac:dyDescent="0.3">
      <c r="B16" s="76"/>
      <c r="C16" s="82"/>
      <c r="D16" s="81"/>
      <c r="E16" s="81"/>
      <c r="F16" s="81"/>
      <c r="G16" s="81"/>
      <c r="H16" s="81"/>
      <c r="I16" s="81"/>
      <c r="J16" s="80"/>
      <c r="K16" s="75"/>
      <c r="L16" s="82"/>
      <c r="M16" s="81"/>
      <c r="N16" s="81"/>
      <c r="O16" s="81"/>
      <c r="P16" s="81"/>
      <c r="Q16" s="81"/>
      <c r="R16" s="81"/>
      <c r="S16" s="80"/>
      <c r="T16" s="74"/>
      <c r="AQ16" t="s">
        <v>13</v>
      </c>
    </row>
    <row r="17" spans="2:43" ht="30" customHeight="1" x14ac:dyDescent="0.4">
      <c r="B17" s="76"/>
      <c r="C17" s="82"/>
      <c r="D17" s="81"/>
      <c r="E17" s="81"/>
      <c r="F17" s="81"/>
      <c r="G17" s="83" t="s">
        <v>183</v>
      </c>
      <c r="H17" s="81"/>
      <c r="I17" s="81"/>
      <c r="J17" s="80"/>
      <c r="K17" s="75"/>
      <c r="L17" s="82"/>
      <c r="M17" s="81"/>
      <c r="N17" s="81"/>
      <c r="O17" s="81"/>
      <c r="P17" s="81"/>
      <c r="Q17" s="81"/>
      <c r="R17" s="81"/>
      <c r="S17" s="80"/>
      <c r="T17" s="74"/>
      <c r="AQ17" t="s">
        <v>365</v>
      </c>
    </row>
    <row r="18" spans="2:43" ht="14.4" x14ac:dyDescent="0.3">
      <c r="B18" s="76"/>
      <c r="C18" s="82"/>
      <c r="D18" s="81"/>
      <c r="E18" s="81"/>
      <c r="F18" s="81"/>
      <c r="G18" s="81"/>
      <c r="H18" s="81"/>
      <c r="I18" s="81"/>
      <c r="J18" s="80"/>
      <c r="K18" s="75"/>
      <c r="L18" s="82"/>
      <c r="M18" s="81"/>
      <c r="N18" s="81"/>
      <c r="O18" s="81"/>
      <c r="P18" s="81"/>
      <c r="Q18" s="81"/>
      <c r="R18" s="81"/>
      <c r="S18" s="80"/>
      <c r="T18" s="74"/>
      <c r="AQ18" t="s">
        <v>14</v>
      </c>
    </row>
    <row r="19" spans="2:43" ht="14.4" x14ac:dyDescent="0.3">
      <c r="B19" s="76"/>
      <c r="C19" s="82"/>
      <c r="D19" s="81"/>
      <c r="E19" s="81"/>
      <c r="F19" s="81"/>
      <c r="G19" s="81"/>
      <c r="H19" s="81"/>
      <c r="I19" s="81"/>
      <c r="J19" s="80"/>
      <c r="K19" s="75"/>
      <c r="L19" s="82"/>
      <c r="M19" s="81"/>
      <c r="N19" s="81"/>
      <c r="O19" s="81"/>
      <c r="P19" s="81"/>
      <c r="Q19" s="81"/>
      <c r="R19" s="81"/>
      <c r="S19" s="80"/>
      <c r="T19" s="74"/>
      <c r="AQ19" t="s">
        <v>366</v>
      </c>
    </row>
    <row r="20" spans="2:43" ht="15" thickBot="1" x14ac:dyDescent="0.35">
      <c r="B20" s="76"/>
      <c r="C20" s="79"/>
      <c r="D20" s="78"/>
      <c r="E20" s="78"/>
      <c r="F20" s="78"/>
      <c r="G20" s="78"/>
      <c r="H20" s="78"/>
      <c r="I20" s="78"/>
      <c r="J20" s="77"/>
      <c r="K20" s="75"/>
      <c r="L20" s="79"/>
      <c r="M20" s="78"/>
      <c r="N20" s="78"/>
      <c r="O20" s="78"/>
      <c r="P20" s="78"/>
      <c r="Q20" s="78"/>
      <c r="R20" s="78"/>
      <c r="S20" s="77"/>
      <c r="T20" s="74"/>
      <c r="AQ20" t="s">
        <v>367</v>
      </c>
    </row>
    <row r="21" spans="2:43" ht="14.4" x14ac:dyDescent="0.3">
      <c r="B21" s="76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4"/>
      <c r="AQ21" t="s">
        <v>368</v>
      </c>
    </row>
    <row r="22" spans="2:43" ht="3.75" customHeight="1" thickBot="1" x14ac:dyDescent="0.35">
      <c r="B22" s="73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1"/>
      <c r="AQ22" t="s">
        <v>369</v>
      </c>
    </row>
    <row r="23" spans="2:43" ht="14.4" x14ac:dyDescent="0.3">
      <c r="AQ23" t="s">
        <v>370</v>
      </c>
    </row>
    <row r="24" spans="2:43" ht="14.4" x14ac:dyDescent="0.3">
      <c r="AQ24" t="s">
        <v>15</v>
      </c>
    </row>
    <row r="25" spans="2:43" ht="14.4" x14ac:dyDescent="0.3">
      <c r="AQ25" t="s">
        <v>371</v>
      </c>
    </row>
    <row r="26" spans="2:43" ht="14.4" x14ac:dyDescent="0.3">
      <c r="AQ26" t="s">
        <v>372</v>
      </c>
    </row>
    <row r="27" spans="2:43" ht="14.4" x14ac:dyDescent="0.3">
      <c r="AQ27" t="s">
        <v>373</v>
      </c>
    </row>
    <row r="28" spans="2:43" ht="14.4" x14ac:dyDescent="0.3">
      <c r="AQ28" t="s">
        <v>374</v>
      </c>
    </row>
    <row r="29" spans="2:43" ht="14.4" x14ac:dyDescent="0.3">
      <c r="AQ29" t="s">
        <v>375</v>
      </c>
    </row>
    <row r="30" spans="2:43" ht="14.4" x14ac:dyDescent="0.3">
      <c r="AQ30" t="s">
        <v>376</v>
      </c>
    </row>
    <row r="31" spans="2:43" ht="14.4" x14ac:dyDescent="0.3">
      <c r="AQ31" t="s">
        <v>16</v>
      </c>
    </row>
    <row r="32" spans="2:43" ht="14.4" x14ac:dyDescent="0.3">
      <c r="AQ32" t="s">
        <v>377</v>
      </c>
    </row>
    <row r="33" spans="43:43" ht="14.4" x14ac:dyDescent="0.3">
      <c r="AQ33" t="s">
        <v>378</v>
      </c>
    </row>
    <row r="34" spans="43:43" ht="14.4" x14ac:dyDescent="0.3">
      <c r="AQ34" t="s">
        <v>379</v>
      </c>
    </row>
    <row r="35" spans="43:43" ht="14.4" x14ac:dyDescent="0.3">
      <c r="AQ35" t="s">
        <v>380</v>
      </c>
    </row>
    <row r="36" spans="43:43" ht="14.4" x14ac:dyDescent="0.3">
      <c r="AQ36" t="s">
        <v>381</v>
      </c>
    </row>
    <row r="37" spans="43:43" ht="14.4" x14ac:dyDescent="0.3">
      <c r="AQ37" t="s">
        <v>382</v>
      </c>
    </row>
    <row r="38" spans="43:43" ht="14.4" x14ac:dyDescent="0.3">
      <c r="AQ38" t="s">
        <v>383</v>
      </c>
    </row>
    <row r="39" spans="43:43" ht="14.4" x14ac:dyDescent="0.3">
      <c r="AQ39" t="s">
        <v>384</v>
      </c>
    </row>
    <row r="40" spans="43:43" ht="14.4" x14ac:dyDescent="0.3">
      <c r="AQ40" t="s">
        <v>385</v>
      </c>
    </row>
    <row r="41" spans="43:43" ht="14.4" x14ac:dyDescent="0.3">
      <c r="AQ41" t="s">
        <v>386</v>
      </c>
    </row>
    <row r="42" spans="43:43" ht="14.4" x14ac:dyDescent="0.3">
      <c r="AQ42" t="s">
        <v>387</v>
      </c>
    </row>
    <row r="43" spans="43:43" ht="14.4" x14ac:dyDescent="0.3">
      <c r="AQ43" t="s">
        <v>388</v>
      </c>
    </row>
    <row r="44" spans="43:43" ht="14.4" x14ac:dyDescent="0.3">
      <c r="AQ44" t="s">
        <v>389</v>
      </c>
    </row>
    <row r="45" spans="43:43" ht="14.4" x14ac:dyDescent="0.3">
      <c r="AQ45" t="s">
        <v>390</v>
      </c>
    </row>
  </sheetData>
  <mergeCells count="3">
    <mergeCell ref="B2:T2"/>
    <mergeCell ref="C4:J6"/>
    <mergeCell ref="L4:S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52F7E-7126-43E4-96F8-392C38369440}">
  <sheetPr codeName="Sheet2"/>
  <dimension ref="A1:J10"/>
  <sheetViews>
    <sheetView workbookViewId="0">
      <selection activeCell="D2" sqref="D2"/>
    </sheetView>
  </sheetViews>
  <sheetFormatPr defaultRowHeight="14.4" x14ac:dyDescent="0.3"/>
  <cols>
    <col min="1" max="1" width="10" bestFit="1" customWidth="1"/>
    <col min="2" max="2" width="12" bestFit="1" customWidth="1"/>
    <col min="3" max="3" width="16.5546875" bestFit="1" customWidth="1"/>
    <col min="4" max="4" width="24.21875" bestFit="1" customWidth="1"/>
    <col min="5" max="5" width="9.88671875" bestFit="1" customWidth="1"/>
    <col min="6" max="6" width="13.77734375" style="69" bestFit="1" customWidth="1"/>
    <col min="7" max="7" width="15.77734375" style="69" bestFit="1" customWidth="1"/>
    <col min="8" max="8" width="9.33203125" bestFit="1" customWidth="1"/>
    <col min="9" max="9" width="13.33203125" bestFit="1" customWidth="1"/>
    <col min="10" max="10" width="18.77734375" bestFit="1" customWidth="1"/>
    <col min="29" max="29" width="20.664062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22</v>
      </c>
      <c r="F1" s="69" t="s">
        <v>180</v>
      </c>
      <c r="G1" s="69" t="s">
        <v>181</v>
      </c>
      <c r="H1" t="s">
        <v>4</v>
      </c>
      <c r="I1" t="s">
        <v>5</v>
      </c>
      <c r="J1" t="s">
        <v>6</v>
      </c>
    </row>
    <row r="2" spans="1:10" x14ac:dyDescent="0.3">
      <c r="A2" t="s">
        <v>292</v>
      </c>
      <c r="B2" t="s">
        <v>301</v>
      </c>
      <c r="C2">
        <v>9876543210</v>
      </c>
      <c r="D2" t="s">
        <v>310</v>
      </c>
      <c r="E2" t="s">
        <v>319</v>
      </c>
      <c r="F2" s="69">
        <v>35136</v>
      </c>
      <c r="G2" s="69">
        <v>43368</v>
      </c>
      <c r="H2" t="s">
        <v>326</v>
      </c>
      <c r="I2" t="s">
        <v>7</v>
      </c>
      <c r="J2" t="s">
        <v>15</v>
      </c>
    </row>
    <row r="3" spans="1:10" x14ac:dyDescent="0.3">
      <c r="A3" t="s">
        <v>293</v>
      </c>
      <c r="B3" t="s">
        <v>302</v>
      </c>
      <c r="C3">
        <v>8765432109</v>
      </c>
      <c r="D3" t="s">
        <v>311</v>
      </c>
      <c r="E3" t="s">
        <v>320</v>
      </c>
      <c r="F3" s="69">
        <v>34885</v>
      </c>
      <c r="G3" s="69">
        <v>43658</v>
      </c>
      <c r="H3" t="s">
        <v>327</v>
      </c>
      <c r="I3" t="s">
        <v>8</v>
      </c>
      <c r="J3" t="s">
        <v>16</v>
      </c>
    </row>
    <row r="4" spans="1:10" x14ac:dyDescent="0.3">
      <c r="A4" t="s">
        <v>294</v>
      </c>
      <c r="B4" t="s">
        <v>303</v>
      </c>
      <c r="C4">
        <v>7654321098</v>
      </c>
      <c r="D4" t="s">
        <v>312</v>
      </c>
      <c r="E4" t="s">
        <v>321</v>
      </c>
      <c r="F4" s="69">
        <v>34658</v>
      </c>
      <c r="G4" s="69">
        <v>42828</v>
      </c>
      <c r="H4" t="s">
        <v>326</v>
      </c>
      <c r="I4" t="s">
        <v>9</v>
      </c>
      <c r="J4" t="s">
        <v>12</v>
      </c>
    </row>
    <row r="5" spans="1:10" x14ac:dyDescent="0.3">
      <c r="A5" t="s">
        <v>295</v>
      </c>
      <c r="B5" t="s">
        <v>304</v>
      </c>
      <c r="C5">
        <v>6543210987</v>
      </c>
      <c r="D5" t="s">
        <v>313</v>
      </c>
      <c r="E5" t="s">
        <v>322</v>
      </c>
      <c r="F5" s="69">
        <v>34220</v>
      </c>
      <c r="G5" s="69">
        <v>42692</v>
      </c>
      <c r="H5" t="s">
        <v>327</v>
      </c>
      <c r="I5" t="s">
        <v>10</v>
      </c>
      <c r="J5" t="s">
        <v>15</v>
      </c>
    </row>
    <row r="6" spans="1:10" x14ac:dyDescent="0.3">
      <c r="A6" t="s">
        <v>296</v>
      </c>
      <c r="B6" t="s">
        <v>305</v>
      </c>
      <c r="C6">
        <v>5432109876</v>
      </c>
      <c r="D6" t="s">
        <v>314</v>
      </c>
      <c r="E6" t="s">
        <v>323</v>
      </c>
      <c r="F6" s="69">
        <v>33711</v>
      </c>
      <c r="G6" s="69">
        <v>44234</v>
      </c>
      <c r="H6" t="s">
        <v>326</v>
      </c>
      <c r="I6" t="s">
        <v>11</v>
      </c>
      <c r="J6" t="s">
        <v>12</v>
      </c>
    </row>
    <row r="7" spans="1:10" x14ac:dyDescent="0.3">
      <c r="A7" t="s">
        <v>297</v>
      </c>
      <c r="B7" t="s">
        <v>306</v>
      </c>
      <c r="C7">
        <v>4321098765</v>
      </c>
      <c r="D7" t="s">
        <v>315</v>
      </c>
      <c r="E7" t="s">
        <v>324</v>
      </c>
      <c r="F7" s="69">
        <v>33601</v>
      </c>
      <c r="G7" s="69">
        <v>44072</v>
      </c>
      <c r="H7" t="s">
        <v>327</v>
      </c>
      <c r="I7" t="s">
        <v>11</v>
      </c>
      <c r="J7" t="s">
        <v>14</v>
      </c>
    </row>
    <row r="8" spans="1:10" x14ac:dyDescent="0.3">
      <c r="A8" t="s">
        <v>298</v>
      </c>
      <c r="B8" t="s">
        <v>307</v>
      </c>
      <c r="C8">
        <v>3210987654</v>
      </c>
      <c r="D8" t="s">
        <v>316</v>
      </c>
      <c r="E8" t="s">
        <v>324</v>
      </c>
      <c r="F8" s="69">
        <v>33034</v>
      </c>
      <c r="G8" s="69">
        <v>43265</v>
      </c>
      <c r="H8" t="s">
        <v>326</v>
      </c>
      <c r="I8" t="s">
        <v>7</v>
      </c>
      <c r="J8" t="s">
        <v>13</v>
      </c>
    </row>
    <row r="9" spans="1:10" x14ac:dyDescent="0.3">
      <c r="A9" t="s">
        <v>299</v>
      </c>
      <c r="B9" t="s">
        <v>308</v>
      </c>
      <c r="C9">
        <v>2109876543</v>
      </c>
      <c r="D9" t="s">
        <v>317</v>
      </c>
      <c r="E9" t="s">
        <v>325</v>
      </c>
      <c r="F9" s="69">
        <v>32742</v>
      </c>
      <c r="G9" s="69">
        <v>42799</v>
      </c>
      <c r="H9" t="s">
        <v>327</v>
      </c>
      <c r="I9" t="s">
        <v>8</v>
      </c>
      <c r="J9" t="s">
        <v>15</v>
      </c>
    </row>
    <row r="10" spans="1:10" x14ac:dyDescent="0.3">
      <c r="A10" t="s">
        <v>300</v>
      </c>
      <c r="B10" t="s">
        <v>309</v>
      </c>
      <c r="C10">
        <v>1098765432</v>
      </c>
      <c r="D10" t="s">
        <v>318</v>
      </c>
      <c r="E10" t="s">
        <v>321</v>
      </c>
      <c r="F10" s="69">
        <v>32266</v>
      </c>
      <c r="G10" s="69">
        <v>43760</v>
      </c>
      <c r="H10" t="s">
        <v>326</v>
      </c>
      <c r="I10" t="s">
        <v>10</v>
      </c>
      <c r="J10" t="s">
        <v>15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6B5E9-E36A-42BB-AD02-9CDC10A8F736}">
  <sheetPr codeName="Sheet3"/>
  <dimension ref="A1:I13"/>
  <sheetViews>
    <sheetView workbookViewId="0">
      <selection activeCell="C5" sqref="C5"/>
    </sheetView>
  </sheetViews>
  <sheetFormatPr defaultRowHeight="14.4" x14ac:dyDescent="0.3"/>
  <cols>
    <col min="1" max="1" width="10.109375" bestFit="1" customWidth="1"/>
    <col min="2" max="3" width="33.6640625" bestFit="1" customWidth="1"/>
    <col min="4" max="4" width="10.6640625" bestFit="1" customWidth="1"/>
    <col min="5" max="5" width="12.88671875" bestFit="1" customWidth="1"/>
    <col min="6" max="6" width="11" bestFit="1" customWidth="1"/>
    <col min="7" max="7" width="27.77734375" bestFit="1" customWidth="1"/>
    <col min="8" max="8" width="68.5546875" customWidth="1"/>
    <col min="9" max="9" width="17.44140625" bestFit="1" customWidth="1"/>
    <col min="10" max="10" width="13.6640625" customWidth="1"/>
  </cols>
  <sheetData>
    <row r="1" spans="1:9" x14ac:dyDescent="0.3">
      <c r="A1" t="s">
        <v>0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3</v>
      </c>
      <c r="H1" t="s">
        <v>22</v>
      </c>
      <c r="I1" t="s">
        <v>23</v>
      </c>
    </row>
    <row r="2" spans="1:9" x14ac:dyDescent="0.3">
      <c r="A2" t="s">
        <v>277</v>
      </c>
      <c r="B2" t="s">
        <v>114</v>
      </c>
      <c r="C2" t="s">
        <v>126</v>
      </c>
      <c r="D2" t="s">
        <v>25</v>
      </c>
      <c r="E2" t="s">
        <v>130</v>
      </c>
      <c r="F2">
        <v>9833084984</v>
      </c>
      <c r="G2" t="s">
        <v>141</v>
      </c>
      <c r="H2" t="s">
        <v>150</v>
      </c>
      <c r="I2" t="s">
        <v>162</v>
      </c>
    </row>
    <row r="3" spans="1:9" x14ac:dyDescent="0.3">
      <c r="A3" t="s">
        <v>278</v>
      </c>
      <c r="B3" t="s">
        <v>115</v>
      </c>
      <c r="C3" t="s">
        <v>127</v>
      </c>
      <c r="D3" t="s">
        <v>25</v>
      </c>
      <c r="E3" t="s">
        <v>131</v>
      </c>
      <c r="F3">
        <v>9833084984</v>
      </c>
      <c r="G3" t="s">
        <v>142</v>
      </c>
      <c r="H3" t="s">
        <v>151</v>
      </c>
      <c r="I3" t="s">
        <v>163</v>
      </c>
    </row>
    <row r="4" spans="1:9" x14ac:dyDescent="0.3">
      <c r="A4" t="s">
        <v>279</v>
      </c>
      <c r="B4" t="s">
        <v>116</v>
      </c>
      <c r="C4" t="s">
        <v>116</v>
      </c>
      <c r="D4" t="s">
        <v>128</v>
      </c>
      <c r="E4" t="s">
        <v>132</v>
      </c>
      <c r="F4">
        <v>9833084984</v>
      </c>
      <c r="G4" t="s">
        <v>143</v>
      </c>
      <c r="H4" t="s">
        <v>152</v>
      </c>
      <c r="I4" t="s">
        <v>164</v>
      </c>
    </row>
    <row r="5" spans="1:9" x14ac:dyDescent="0.3">
      <c r="A5" t="s">
        <v>280</v>
      </c>
      <c r="B5" t="s">
        <v>117</v>
      </c>
      <c r="C5" t="s">
        <v>117</v>
      </c>
      <c r="D5" t="s">
        <v>129</v>
      </c>
      <c r="E5" t="s">
        <v>133</v>
      </c>
      <c r="F5">
        <v>9823616665</v>
      </c>
      <c r="G5" t="s">
        <v>290</v>
      </c>
      <c r="H5" t="s">
        <v>153</v>
      </c>
      <c r="I5" t="s">
        <v>165</v>
      </c>
    </row>
    <row r="6" spans="1:9" x14ac:dyDescent="0.3">
      <c r="A6" t="s">
        <v>281</v>
      </c>
      <c r="B6" t="s">
        <v>118</v>
      </c>
      <c r="C6" t="s">
        <v>118</v>
      </c>
      <c r="D6" t="s">
        <v>289</v>
      </c>
      <c r="E6" t="s">
        <v>134</v>
      </c>
      <c r="F6">
        <v>9833084984</v>
      </c>
      <c r="G6" t="s">
        <v>144</v>
      </c>
      <c r="H6" t="s">
        <v>154</v>
      </c>
      <c r="I6" t="s">
        <v>166</v>
      </c>
    </row>
    <row r="7" spans="1:9" x14ac:dyDescent="0.3">
      <c r="A7" t="s">
        <v>282</v>
      </c>
      <c r="B7" t="s">
        <v>119</v>
      </c>
      <c r="C7" t="s">
        <v>119</v>
      </c>
      <c r="D7" t="s">
        <v>289</v>
      </c>
      <c r="E7" t="s">
        <v>135</v>
      </c>
      <c r="F7" s="86">
        <v>9930743125</v>
      </c>
      <c r="G7" t="s">
        <v>291</v>
      </c>
      <c r="H7" t="s">
        <v>155</v>
      </c>
      <c r="I7" t="s">
        <v>167</v>
      </c>
    </row>
    <row r="8" spans="1:9" x14ac:dyDescent="0.3">
      <c r="A8" t="s">
        <v>283</v>
      </c>
      <c r="B8" t="s">
        <v>120</v>
      </c>
      <c r="C8" t="s">
        <v>120</v>
      </c>
      <c r="D8" t="s">
        <v>128</v>
      </c>
      <c r="E8" t="s">
        <v>136</v>
      </c>
      <c r="F8" s="86">
        <v>9820445128</v>
      </c>
      <c r="G8" t="s">
        <v>145</v>
      </c>
      <c r="H8" t="s">
        <v>156</v>
      </c>
      <c r="I8" t="s">
        <v>168</v>
      </c>
    </row>
    <row r="9" spans="1:9" x14ac:dyDescent="0.3">
      <c r="A9" t="s">
        <v>284</v>
      </c>
      <c r="B9" t="s">
        <v>121</v>
      </c>
      <c r="C9" t="s">
        <v>121</v>
      </c>
      <c r="D9" t="s">
        <v>289</v>
      </c>
      <c r="E9" t="s">
        <v>137</v>
      </c>
      <c r="F9" s="86">
        <v>9892143272</v>
      </c>
      <c r="G9" t="s">
        <v>146</v>
      </c>
      <c r="H9" t="s">
        <v>157</v>
      </c>
      <c r="I9" t="s">
        <v>169</v>
      </c>
    </row>
    <row r="10" spans="1:9" x14ac:dyDescent="0.3">
      <c r="A10" t="s">
        <v>285</v>
      </c>
      <c r="B10" t="s">
        <v>122</v>
      </c>
      <c r="C10" t="s">
        <v>122</v>
      </c>
      <c r="D10" t="s">
        <v>25</v>
      </c>
      <c r="E10" t="s">
        <v>138</v>
      </c>
      <c r="F10" s="86">
        <v>9324089051</v>
      </c>
      <c r="G10" t="s">
        <v>145</v>
      </c>
      <c r="H10" t="s">
        <v>158</v>
      </c>
      <c r="I10" t="s">
        <v>170</v>
      </c>
    </row>
    <row r="11" spans="1:9" x14ac:dyDescent="0.3">
      <c r="A11" t="s">
        <v>286</v>
      </c>
      <c r="B11" t="s">
        <v>123</v>
      </c>
      <c r="C11" t="s">
        <v>123</v>
      </c>
      <c r="D11" t="s">
        <v>25</v>
      </c>
      <c r="E11" t="s">
        <v>139</v>
      </c>
      <c r="F11">
        <v>9833084984</v>
      </c>
      <c r="G11" t="s">
        <v>147</v>
      </c>
      <c r="H11" t="s">
        <v>159</v>
      </c>
      <c r="I11" t="s">
        <v>171</v>
      </c>
    </row>
    <row r="12" spans="1:9" x14ac:dyDescent="0.3">
      <c r="A12" t="s">
        <v>287</v>
      </c>
      <c r="B12" t="s">
        <v>124</v>
      </c>
      <c r="C12" t="s">
        <v>124</v>
      </c>
      <c r="D12" t="s">
        <v>128</v>
      </c>
      <c r="E12" t="s">
        <v>139</v>
      </c>
      <c r="F12" s="86">
        <v>9664651057</v>
      </c>
      <c r="G12" t="s">
        <v>148</v>
      </c>
      <c r="H12" t="s">
        <v>160</v>
      </c>
      <c r="I12" t="s">
        <v>172</v>
      </c>
    </row>
    <row r="13" spans="1:9" x14ac:dyDescent="0.3">
      <c r="A13" t="s">
        <v>288</v>
      </c>
      <c r="B13" t="s">
        <v>125</v>
      </c>
      <c r="C13" t="s">
        <v>125</v>
      </c>
      <c r="D13" t="s">
        <v>25</v>
      </c>
      <c r="E13" t="s">
        <v>140</v>
      </c>
      <c r="F13">
        <v>9022809936</v>
      </c>
      <c r="G13" t="s">
        <v>149</v>
      </c>
      <c r="H13" t="s">
        <v>161</v>
      </c>
      <c r="I13" t="s">
        <v>173</v>
      </c>
    </row>
  </sheetData>
  <phoneticPr fontId="27" type="noConversion"/>
  <hyperlinks>
    <hyperlink ref="G5" r:id="rId1" xr:uid="{6A2242A0-0256-4797-9926-72FC5CB66420}"/>
    <hyperlink ref="G7" r:id="rId2" xr:uid="{883F9450-49AD-42C4-BDB5-30D8D83A259E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C096-F800-4513-8E23-16648A597B6A}">
  <sheetPr codeName="Sheet4"/>
  <dimension ref="A1:H25"/>
  <sheetViews>
    <sheetView topLeftCell="D1" workbookViewId="0">
      <selection activeCell="H2" sqref="H2"/>
    </sheetView>
  </sheetViews>
  <sheetFormatPr defaultRowHeight="14.4" x14ac:dyDescent="0.3"/>
  <cols>
    <col min="1" max="1" width="10.109375" bestFit="1" customWidth="1"/>
    <col min="2" max="2" width="28.77734375" bestFit="1" customWidth="1"/>
    <col min="3" max="3" width="95.44140625" customWidth="1"/>
    <col min="4" max="4" width="15.33203125" bestFit="1" customWidth="1"/>
    <col min="5" max="5" width="21.109375" customWidth="1"/>
    <col min="6" max="6" width="30.109375" bestFit="1" customWidth="1"/>
    <col min="7" max="7" width="32.44140625" bestFit="1" customWidth="1"/>
    <col min="8" max="8" width="17.88671875" bestFit="1" customWidth="1"/>
  </cols>
  <sheetData>
    <row r="1" spans="1:8" x14ac:dyDescent="0.3">
      <c r="A1" t="s">
        <v>0</v>
      </c>
      <c r="B1" t="s">
        <v>1</v>
      </c>
      <c r="C1" t="s">
        <v>22</v>
      </c>
      <c r="D1" t="s">
        <v>6</v>
      </c>
      <c r="E1" t="s">
        <v>24</v>
      </c>
      <c r="F1" t="s">
        <v>21</v>
      </c>
      <c r="G1" t="s">
        <v>182</v>
      </c>
      <c r="H1" t="s">
        <v>23</v>
      </c>
    </row>
    <row r="2" spans="1:8" x14ac:dyDescent="0.3">
      <c r="A2" t="s">
        <v>216</v>
      </c>
      <c r="B2" t="s">
        <v>225</v>
      </c>
      <c r="C2" t="s">
        <v>234</v>
      </c>
      <c r="D2" t="s">
        <v>15</v>
      </c>
      <c r="E2" t="s">
        <v>246</v>
      </c>
      <c r="F2" t="s">
        <v>261</v>
      </c>
      <c r="G2" t="s">
        <v>266</v>
      </c>
      <c r="H2" t="s">
        <v>207</v>
      </c>
    </row>
    <row r="3" spans="1:8" x14ac:dyDescent="0.3">
      <c r="A3" t="s">
        <v>217</v>
      </c>
      <c r="B3" t="s">
        <v>226</v>
      </c>
      <c r="C3" t="s">
        <v>235</v>
      </c>
      <c r="D3" t="s">
        <v>15</v>
      </c>
      <c r="E3" t="s">
        <v>247</v>
      </c>
      <c r="F3" t="s">
        <v>256</v>
      </c>
      <c r="G3" t="s">
        <v>267</v>
      </c>
      <c r="H3" t="s">
        <v>208</v>
      </c>
    </row>
    <row r="4" spans="1:8" x14ac:dyDescent="0.3">
      <c r="A4" t="s">
        <v>218</v>
      </c>
      <c r="B4" t="s">
        <v>227</v>
      </c>
      <c r="C4" t="s">
        <v>236</v>
      </c>
      <c r="D4" t="s">
        <v>15</v>
      </c>
      <c r="E4" t="s">
        <v>248</v>
      </c>
      <c r="F4" t="s">
        <v>257</v>
      </c>
      <c r="G4" t="s">
        <v>268</v>
      </c>
      <c r="H4" t="s">
        <v>209</v>
      </c>
    </row>
    <row r="5" spans="1:8" x14ac:dyDescent="0.3">
      <c r="A5" t="s">
        <v>219</v>
      </c>
      <c r="B5" t="s">
        <v>228</v>
      </c>
      <c r="C5" t="s">
        <v>237</v>
      </c>
      <c r="D5" t="s">
        <v>15</v>
      </c>
      <c r="E5" t="s">
        <v>249</v>
      </c>
      <c r="F5" t="s">
        <v>262</v>
      </c>
      <c r="G5" t="s">
        <v>269</v>
      </c>
      <c r="H5" t="s">
        <v>210</v>
      </c>
    </row>
    <row r="6" spans="1:8" x14ac:dyDescent="0.3">
      <c r="A6" t="s">
        <v>220</v>
      </c>
      <c r="B6" t="s">
        <v>229</v>
      </c>
      <c r="C6" t="s">
        <v>238</v>
      </c>
      <c r="D6" t="s">
        <v>15</v>
      </c>
      <c r="E6" t="s">
        <v>250</v>
      </c>
      <c r="F6" t="s">
        <v>263</v>
      </c>
      <c r="G6" t="s">
        <v>270</v>
      </c>
      <c r="H6" t="s">
        <v>211</v>
      </c>
    </row>
    <row r="7" spans="1:8" x14ac:dyDescent="0.3">
      <c r="A7" t="s">
        <v>221</v>
      </c>
      <c r="B7" t="s">
        <v>230</v>
      </c>
      <c r="C7" t="s">
        <v>239</v>
      </c>
      <c r="D7" t="s">
        <v>15</v>
      </c>
      <c r="E7" t="s">
        <v>251</v>
      </c>
      <c r="F7" t="s">
        <v>264</v>
      </c>
      <c r="G7" t="s">
        <v>271</v>
      </c>
      <c r="H7" t="s">
        <v>212</v>
      </c>
    </row>
    <row r="8" spans="1:8" x14ac:dyDescent="0.3">
      <c r="A8" t="s">
        <v>222</v>
      </c>
      <c r="B8" t="s">
        <v>231</v>
      </c>
      <c r="C8" t="s">
        <v>240</v>
      </c>
      <c r="D8" t="s">
        <v>15</v>
      </c>
      <c r="E8" t="s">
        <v>252</v>
      </c>
      <c r="F8" t="s">
        <v>258</v>
      </c>
      <c r="G8" t="s">
        <v>272</v>
      </c>
      <c r="H8" t="s">
        <v>213</v>
      </c>
    </row>
    <row r="9" spans="1:8" x14ac:dyDescent="0.3">
      <c r="A9" t="s">
        <v>223</v>
      </c>
      <c r="B9" t="s">
        <v>232</v>
      </c>
      <c r="C9" t="s">
        <v>241</v>
      </c>
      <c r="D9" t="s">
        <v>15</v>
      </c>
      <c r="E9" t="s">
        <v>253</v>
      </c>
      <c r="F9" t="s">
        <v>259</v>
      </c>
      <c r="G9" t="s">
        <v>273</v>
      </c>
      <c r="H9" t="s">
        <v>214</v>
      </c>
    </row>
    <row r="10" spans="1:8" x14ac:dyDescent="0.3">
      <c r="A10" t="s">
        <v>224</v>
      </c>
      <c r="B10" t="s">
        <v>233</v>
      </c>
      <c r="C10" t="s">
        <v>242</v>
      </c>
      <c r="D10" t="s">
        <v>15</v>
      </c>
      <c r="E10" t="s">
        <v>254</v>
      </c>
      <c r="F10" t="s">
        <v>260</v>
      </c>
      <c r="G10" t="s">
        <v>274</v>
      </c>
      <c r="H10" t="s">
        <v>215</v>
      </c>
    </row>
    <row r="11" spans="1:8" x14ac:dyDescent="0.3">
      <c r="A11" t="s">
        <v>244</v>
      </c>
      <c r="B11" t="s">
        <v>245</v>
      </c>
      <c r="C11" t="s">
        <v>243</v>
      </c>
      <c r="D11" t="s">
        <v>15</v>
      </c>
      <c r="E11" t="s">
        <v>255</v>
      </c>
      <c r="F11" t="s">
        <v>265</v>
      </c>
      <c r="G11" t="s">
        <v>275</v>
      </c>
      <c r="H11" t="s">
        <v>276</v>
      </c>
    </row>
    <row r="16" spans="1:8" x14ac:dyDescent="0.3">
      <c r="F16" s="85"/>
    </row>
    <row r="17" spans="6:6" x14ac:dyDescent="0.3">
      <c r="F17" s="85"/>
    </row>
    <row r="18" spans="6:6" x14ac:dyDescent="0.3">
      <c r="F18" s="85"/>
    </row>
    <row r="19" spans="6:6" x14ac:dyDescent="0.3">
      <c r="F19" s="85"/>
    </row>
    <row r="20" spans="6:6" x14ac:dyDescent="0.3">
      <c r="F20" s="85"/>
    </row>
    <row r="21" spans="6:6" x14ac:dyDescent="0.3">
      <c r="F21" s="85"/>
    </row>
    <row r="22" spans="6:6" x14ac:dyDescent="0.3">
      <c r="F22" s="85"/>
    </row>
    <row r="23" spans="6:6" x14ac:dyDescent="0.3">
      <c r="F23" s="85"/>
    </row>
    <row r="24" spans="6:6" x14ac:dyDescent="0.3">
      <c r="F24" s="85"/>
    </row>
    <row r="25" spans="6:6" x14ac:dyDescent="0.3">
      <c r="F25" s="85"/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62EAB-C9EC-4301-AEE1-510C54AAB03D}">
  <sheetPr codeName="Sheet5"/>
  <dimension ref="A1:M43"/>
  <sheetViews>
    <sheetView showGridLines="0" zoomScale="59" zoomScaleNormal="59" workbookViewId="0">
      <selection activeCell="L7" sqref="L7"/>
    </sheetView>
  </sheetViews>
  <sheetFormatPr defaultColWidth="9.33203125" defaultRowHeight="13.2" x14ac:dyDescent="0.3"/>
  <cols>
    <col min="1" max="1" width="35.77734375" style="1" customWidth="1"/>
    <col min="2" max="2" width="34.109375" style="1" customWidth="1"/>
    <col min="3" max="3" width="32.33203125" style="1" customWidth="1"/>
    <col min="4" max="4" width="19.77734375" style="1" customWidth="1"/>
    <col min="5" max="5" width="18.44140625" style="1" customWidth="1"/>
    <col min="6" max="6" width="21.6640625" style="1" customWidth="1"/>
    <col min="7" max="7" width="19.6640625" style="1" customWidth="1"/>
    <col min="8" max="8" width="24.109375" style="1" customWidth="1"/>
    <col min="9" max="9" width="23.44140625" style="2" customWidth="1"/>
    <col min="10" max="10" width="17.109375" style="3" customWidth="1"/>
    <col min="11" max="13" width="9.33203125" style="3"/>
    <col min="14" max="16384" width="9.33203125" style="1"/>
  </cols>
  <sheetData>
    <row r="1" spans="1:13" ht="26.25" customHeight="1" x14ac:dyDescent="0.3"/>
    <row r="2" spans="1:13" ht="26.25" customHeight="1" x14ac:dyDescent="0.3"/>
    <row r="3" spans="1:13" ht="26.25" customHeight="1" x14ac:dyDescent="0.3"/>
    <row r="4" spans="1:13" ht="26.25" customHeight="1" x14ac:dyDescent="0.3"/>
    <row r="5" spans="1:13" ht="26.25" customHeight="1" x14ac:dyDescent="0.3"/>
    <row r="6" spans="1:13" ht="18" customHeight="1" thickBot="1" x14ac:dyDescent="0.35"/>
    <row r="7" spans="1:13" ht="30" customHeight="1" x14ac:dyDescent="0.3">
      <c r="A7" s="166" t="s">
        <v>30</v>
      </c>
      <c r="B7" s="167"/>
      <c r="C7" s="167"/>
      <c r="D7" s="167"/>
      <c r="E7" s="167"/>
      <c r="F7" s="167"/>
      <c r="G7" s="167"/>
      <c r="H7" s="168"/>
    </row>
    <row r="8" spans="1:13" ht="17.399999999999999" x14ac:dyDescent="0.3">
      <c r="A8" s="169" t="s">
        <v>31</v>
      </c>
      <c r="B8" s="170"/>
      <c r="C8" s="170"/>
      <c r="D8" s="170"/>
      <c r="E8" s="170"/>
      <c r="F8" s="170"/>
      <c r="G8" s="170"/>
      <c r="H8" s="171"/>
    </row>
    <row r="9" spans="1:13" ht="25.5" customHeight="1" x14ac:dyDescent="0.35">
      <c r="A9" s="172" t="s">
        <v>32</v>
      </c>
      <c r="B9" s="173"/>
      <c r="C9" s="173"/>
      <c r="D9" s="173"/>
      <c r="E9" s="173"/>
      <c r="F9" s="173"/>
      <c r="G9" s="173"/>
      <c r="H9" s="174"/>
    </row>
    <row r="10" spans="1:13" ht="18" thickBot="1" x14ac:dyDescent="0.35">
      <c r="A10" s="175" t="s">
        <v>33</v>
      </c>
      <c r="B10" s="176"/>
      <c r="C10" s="176"/>
      <c r="D10" s="176"/>
      <c r="E10" s="176"/>
      <c r="F10" s="176"/>
      <c r="G10" s="176"/>
      <c r="H10" s="177"/>
    </row>
    <row r="11" spans="1:13" s="9" customFormat="1" ht="39.75" customHeight="1" x14ac:dyDescent="0.35">
      <c r="A11" s="4" t="s">
        <v>34</v>
      </c>
      <c r="B11" s="5" t="s">
        <v>206</v>
      </c>
      <c r="C11" s="6" t="s">
        <v>35</v>
      </c>
      <c r="D11" s="178">
        <v>45375</v>
      </c>
      <c r="E11" s="178"/>
      <c r="F11" s="178"/>
      <c r="G11" s="178"/>
      <c r="H11" s="179"/>
      <c r="I11" s="7"/>
      <c r="J11" s="8"/>
      <c r="K11" s="8"/>
      <c r="L11" s="8"/>
      <c r="M11" s="8"/>
    </row>
    <row r="12" spans="1:13" s="9" customFormat="1" ht="39" customHeight="1" x14ac:dyDescent="0.35">
      <c r="A12" s="10" t="s">
        <v>36</v>
      </c>
      <c r="B12" s="11">
        <v>1234</v>
      </c>
      <c r="C12" s="12" t="s">
        <v>37</v>
      </c>
      <c r="D12" s="164">
        <v>45375</v>
      </c>
      <c r="E12" s="164"/>
      <c r="F12" s="164"/>
      <c r="G12" s="164"/>
      <c r="H12" s="165"/>
      <c r="I12" s="7"/>
      <c r="J12" s="8"/>
      <c r="K12" s="8"/>
      <c r="L12" s="8"/>
      <c r="M12" s="8"/>
    </row>
    <row r="13" spans="1:13" s="9" customFormat="1" ht="42" customHeight="1" x14ac:dyDescent="0.35">
      <c r="A13" s="10" t="s">
        <v>38</v>
      </c>
      <c r="B13" s="13"/>
      <c r="C13" s="12" t="s">
        <v>39</v>
      </c>
      <c r="D13" s="155"/>
      <c r="E13" s="156"/>
      <c r="F13" s="156"/>
      <c r="G13" s="156"/>
      <c r="H13" s="157"/>
      <c r="I13" s="7"/>
      <c r="J13" s="8"/>
      <c r="K13" s="8"/>
      <c r="L13" s="8"/>
      <c r="M13" s="8"/>
    </row>
    <row r="14" spans="1:13" s="9" customFormat="1" ht="18" x14ac:dyDescent="0.35">
      <c r="A14" s="158" t="s">
        <v>20</v>
      </c>
      <c r="B14" s="159"/>
      <c r="C14" s="14" t="s">
        <v>40</v>
      </c>
      <c r="D14" s="160"/>
      <c r="E14" s="160"/>
      <c r="F14" s="160"/>
      <c r="G14" s="160"/>
      <c r="H14" s="161"/>
      <c r="I14" s="7"/>
      <c r="J14" s="8"/>
      <c r="K14" s="8"/>
      <c r="L14" s="8"/>
      <c r="M14" s="8"/>
    </row>
    <row r="15" spans="1:13" ht="53.25" customHeight="1" x14ac:dyDescent="0.3">
      <c r="A15" s="15" t="str">
        <f>+IF(ISNA(VLOOKUP($A$17,Customer!$B:$R,0)),0,VLOOKUP($A$17,Customer!$B:$R,4,0))</f>
        <v>Rohit Bhagat</v>
      </c>
      <c r="B15" s="15">
        <f>+IF(ISNA(VLOOKUP($A$17,Customer!$B:$R,0)),0,VLOOKUP($A$17,Customer!$B:$R,5,0))</f>
        <v>9930743125</v>
      </c>
      <c r="C15" s="144" t="s">
        <v>41</v>
      </c>
      <c r="D15" s="146" t="str">
        <f>+IF(ISNA(VLOOKUP($A$17,Customer!$B:$R,0)),0,VLOOKUP($A$17,Customer!$B:$R,7,0))</f>
        <v>GROUND FLOOR, GALA NO.12, SHREE HARI INDUSTRIAL ESTATE, KANDIVALI (WEST) - 400067.</v>
      </c>
      <c r="E15" s="146"/>
      <c r="F15" s="146"/>
      <c r="G15" s="146"/>
      <c r="H15" s="147"/>
    </row>
    <row r="16" spans="1:13" ht="34.5" customHeight="1" x14ac:dyDescent="0.35">
      <c r="A16" s="162" t="str">
        <f>+IF(ISNA(VLOOKUP($A$17,Customer!$B:$R,0)),0,VLOOKUP($A$17,Customer!$B:$R,6,0))</f>
        <v>dkenterprises8@yahoo.o.in</v>
      </c>
      <c r="B16" s="163"/>
      <c r="C16" s="144"/>
      <c r="D16" s="146" t="s">
        <v>42</v>
      </c>
      <c r="E16" s="146"/>
      <c r="F16" s="146"/>
      <c r="G16" s="146"/>
      <c r="H16" s="147"/>
    </row>
    <row r="17" spans="1:13" ht="57" customHeight="1" x14ac:dyDescent="0.35">
      <c r="A17" s="142" t="s">
        <v>119</v>
      </c>
      <c r="B17" s="143"/>
      <c r="C17" s="144" t="s">
        <v>43</v>
      </c>
      <c r="D17" s="146" t="str">
        <f>+IF(ISNA(VLOOKUP($A$17,Customer!$B:$R,0)),0,VLOOKUP($A$17,Customer!$B:$R,7,0))</f>
        <v>GROUND FLOOR, GALA NO.12, SHREE HARI INDUSTRIAL ESTATE, KANDIVALI (WEST) - 400067.</v>
      </c>
      <c r="E17" s="146"/>
      <c r="F17" s="146"/>
      <c r="G17" s="146"/>
      <c r="H17" s="147"/>
    </row>
    <row r="18" spans="1:13" ht="35.25" customHeight="1" thickBot="1" x14ac:dyDescent="0.4">
      <c r="A18" s="16" t="s">
        <v>44</v>
      </c>
      <c r="B18" s="17" t="str">
        <f>+IF(ISNA(VLOOKUP($A$17,Customer!$B:$R,0)),0,VLOOKUP($A$17,Customer!$B:$R,8,0))</f>
        <v>27ADWPD8361Q1ZJ</v>
      </c>
      <c r="C18" s="145"/>
      <c r="D18" s="148" t="s">
        <v>42</v>
      </c>
      <c r="E18" s="148"/>
      <c r="F18" s="148"/>
      <c r="G18" s="148"/>
      <c r="H18" s="149"/>
    </row>
    <row r="19" spans="1:13" s="9" customFormat="1" ht="29.25" customHeight="1" thickBot="1" x14ac:dyDescent="0.4">
      <c r="A19" s="18" t="s">
        <v>45</v>
      </c>
      <c r="B19" s="19" t="s">
        <v>46</v>
      </c>
      <c r="C19" s="19" t="s">
        <v>47</v>
      </c>
      <c r="D19" s="19" t="s">
        <v>48</v>
      </c>
      <c r="E19" s="19" t="s">
        <v>49</v>
      </c>
      <c r="F19" s="19" t="s">
        <v>50</v>
      </c>
      <c r="G19" s="19" t="s">
        <v>51</v>
      </c>
      <c r="H19" s="20" t="s">
        <v>52</v>
      </c>
      <c r="I19" s="7" t="s">
        <v>53</v>
      </c>
      <c r="J19" s="8"/>
      <c r="K19" s="8" t="s">
        <v>54</v>
      </c>
      <c r="L19" s="8"/>
      <c r="M19" s="8"/>
    </row>
    <row r="20" spans="1:13" s="8" customFormat="1" ht="34.5" customHeight="1" x14ac:dyDescent="0.3">
      <c r="A20" s="21" t="s">
        <v>357</v>
      </c>
      <c r="B20" s="22">
        <v>1892</v>
      </c>
      <c r="C20" s="23"/>
      <c r="D20" s="23">
        <v>0.05</v>
      </c>
      <c r="E20" s="22">
        <v>65</v>
      </c>
      <c r="F20" s="24">
        <v>15</v>
      </c>
      <c r="G20" s="22" t="s">
        <v>195</v>
      </c>
      <c r="H20" s="25">
        <f>+IFERROR((E20*F20),0)</f>
        <v>975</v>
      </c>
      <c r="I20" s="7">
        <f>+IFERROR((H20*D20),0)</f>
        <v>48.75</v>
      </c>
      <c r="J20" s="26">
        <v>0.05</v>
      </c>
      <c r="K20" s="8">
        <f>+IFERROR((H20*C20),0)</f>
        <v>0</v>
      </c>
    </row>
    <row r="21" spans="1:13" s="9" customFormat="1" ht="29.25" customHeight="1" x14ac:dyDescent="0.3">
      <c r="A21" s="27"/>
      <c r="B21" s="28"/>
      <c r="C21" s="29"/>
      <c r="D21" s="29"/>
      <c r="E21" s="28"/>
      <c r="F21" s="30"/>
      <c r="G21" s="28"/>
      <c r="H21" s="31"/>
      <c r="I21" s="7">
        <f>+IFERROR((H21*D21),0)</f>
        <v>0</v>
      </c>
      <c r="J21" s="26">
        <v>0.12</v>
      </c>
      <c r="K21" s="8">
        <f>+IFERROR((H21*C21),0)</f>
        <v>0</v>
      </c>
      <c r="L21" s="8"/>
      <c r="M21" s="8"/>
    </row>
    <row r="22" spans="1:13" s="9" customFormat="1" ht="29.25" customHeight="1" x14ac:dyDescent="0.3">
      <c r="A22" s="27"/>
      <c r="B22" s="28"/>
      <c r="C22" s="29"/>
      <c r="D22" s="29"/>
      <c r="E22" s="28"/>
      <c r="F22" s="30"/>
      <c r="G22" s="28"/>
      <c r="H22" s="31"/>
      <c r="I22" s="7">
        <f>+IFERROR((H24*D24),0)</f>
        <v>0</v>
      </c>
      <c r="J22" s="26">
        <v>0.18</v>
      </c>
      <c r="K22" s="8">
        <f>+IFERROR((H24*C24),0)</f>
        <v>0</v>
      </c>
      <c r="L22" s="8"/>
      <c r="M22" s="8"/>
    </row>
    <row r="23" spans="1:13" s="9" customFormat="1" ht="29.25" customHeight="1" x14ac:dyDescent="0.3">
      <c r="A23" s="27"/>
      <c r="B23" s="28"/>
      <c r="C23" s="29"/>
      <c r="D23" s="29"/>
      <c r="E23" s="28"/>
      <c r="F23" s="30"/>
      <c r="G23" s="28"/>
      <c r="H23" s="31"/>
      <c r="I23" s="7">
        <f>+IFERROR((H25*D25),0)</f>
        <v>0</v>
      </c>
      <c r="J23" s="3"/>
      <c r="K23" s="8">
        <f>+IFERROR((H25*C25),0)</f>
        <v>0</v>
      </c>
      <c r="L23" s="8"/>
      <c r="M23" s="8"/>
    </row>
    <row r="24" spans="1:13" s="9" customFormat="1" ht="36" customHeight="1" x14ac:dyDescent="0.3">
      <c r="A24" s="27"/>
      <c r="B24" s="28"/>
      <c r="C24" s="29"/>
      <c r="D24" s="29"/>
      <c r="E24" s="28"/>
      <c r="F24" s="30"/>
      <c r="G24" s="28"/>
      <c r="H24" s="31"/>
      <c r="I24" s="7">
        <f>+IFERROR((H26*D26),0)</f>
        <v>0</v>
      </c>
      <c r="J24" s="3"/>
      <c r="K24" s="8">
        <f>+IFERROR((H26*C26),0)</f>
        <v>0</v>
      </c>
      <c r="L24" s="8"/>
      <c r="M24" s="8"/>
    </row>
    <row r="25" spans="1:13" ht="30" customHeight="1" x14ac:dyDescent="0.3">
      <c r="A25" s="27"/>
      <c r="B25" s="28"/>
      <c r="C25" s="29"/>
      <c r="D25" s="29"/>
      <c r="E25" s="28"/>
      <c r="F25" s="30"/>
      <c r="G25" s="28"/>
      <c r="H25" s="31"/>
      <c r="I25" s="7">
        <f>+IFERROR((H27*D27),0)</f>
        <v>0</v>
      </c>
      <c r="K25" s="8">
        <f>+IFERROR((H27*C27),0)</f>
        <v>0</v>
      </c>
    </row>
    <row r="26" spans="1:13" ht="30" customHeight="1" x14ac:dyDescent="0.3">
      <c r="A26" s="27"/>
      <c r="B26" s="28"/>
      <c r="C26" s="29"/>
      <c r="D26" s="29"/>
      <c r="E26" s="28"/>
      <c r="F26" s="30"/>
      <c r="G26" s="28"/>
      <c r="H26" s="31"/>
      <c r="I26" s="7">
        <f>+IFERROR((H28*D28),0)</f>
        <v>0</v>
      </c>
      <c r="K26" s="8">
        <f>+IFERROR((H28*C28),0)</f>
        <v>0</v>
      </c>
    </row>
    <row r="27" spans="1:13" ht="30" customHeight="1" x14ac:dyDescent="0.3">
      <c r="A27" s="27"/>
      <c r="B27" s="28"/>
      <c r="C27" s="29"/>
      <c r="D27" s="29"/>
      <c r="E27" s="28"/>
      <c r="F27" s="30"/>
      <c r="G27" s="28"/>
      <c r="H27" s="31"/>
      <c r="I27" s="7">
        <f t="shared" ref="I27:I28" si="0">+IFERROR((H29*D29),0)</f>
        <v>0</v>
      </c>
      <c r="K27" s="8">
        <f t="shared" ref="K27:K28" si="1">+IFERROR((H29*C29),0)</f>
        <v>0</v>
      </c>
    </row>
    <row r="28" spans="1:13" ht="30" customHeight="1" thickBot="1" x14ac:dyDescent="0.35">
      <c r="A28" s="32"/>
      <c r="B28" s="33"/>
      <c r="C28" s="34"/>
      <c r="D28" s="34"/>
      <c r="E28" s="35"/>
      <c r="F28" s="36"/>
      <c r="G28" s="33"/>
      <c r="H28" s="37"/>
      <c r="I28" s="7">
        <f t="shared" si="0"/>
        <v>0</v>
      </c>
      <c r="K28" s="8">
        <f t="shared" si="1"/>
        <v>0</v>
      </c>
    </row>
    <row r="29" spans="1:13" s="9" customFormat="1" ht="30" customHeight="1" x14ac:dyDescent="0.3">
      <c r="A29" s="38" t="s">
        <v>55</v>
      </c>
      <c r="B29" s="39">
        <f>+SUMIFS($I$20:$I$28,$D$20:$D$28,$J$20)/2</f>
        <v>24.375</v>
      </c>
      <c r="C29" s="38" t="s">
        <v>56</v>
      </c>
      <c r="D29" s="40">
        <f>+SUMIFS($I$20:$I$28,$D$20:$D$28,$J$21)/2</f>
        <v>0</v>
      </c>
      <c r="E29" s="41" t="s">
        <v>57</v>
      </c>
      <c r="F29" s="42">
        <f>+SUMIFS($I$20:$I$28,$D$20:$D$28,$J$22)/2</f>
        <v>0</v>
      </c>
      <c r="G29" s="43"/>
      <c r="H29" s="44"/>
      <c r="I29" s="7"/>
      <c r="J29" s="8"/>
      <c r="K29" s="8"/>
      <c r="L29" s="8"/>
      <c r="M29" s="8"/>
    </row>
    <row r="30" spans="1:13" s="9" customFormat="1" ht="27" customHeight="1" thickBot="1" x14ac:dyDescent="0.35">
      <c r="A30" s="45" t="s">
        <v>58</v>
      </c>
      <c r="B30" s="46">
        <f>+SUMIFS($I$20:$I$28,$D$20:$D$28,$J$20)/2</f>
        <v>24.375</v>
      </c>
      <c r="C30" s="45" t="s">
        <v>59</v>
      </c>
      <c r="D30" s="47">
        <f>+SUMIFS($I$20:$I$28,$D$20:$D$28,$J$21)/2</f>
        <v>0</v>
      </c>
      <c r="E30" s="48" t="s">
        <v>60</v>
      </c>
      <c r="F30" s="49">
        <f>+SUMIFS($I$20:$I$28,$D$20:$D$28,$J$22)/2</f>
        <v>0</v>
      </c>
      <c r="G30" s="50"/>
      <c r="H30" s="51"/>
      <c r="I30" s="7"/>
      <c r="J30" s="8"/>
      <c r="K30" s="8"/>
      <c r="L30" s="8"/>
      <c r="M30" s="8"/>
    </row>
    <row r="31" spans="1:13" ht="45.75" customHeight="1" thickBot="1" x14ac:dyDescent="0.4">
      <c r="A31" s="150" t="s">
        <v>61</v>
      </c>
      <c r="B31" s="151"/>
      <c r="C31" s="152" t="s">
        <v>62</v>
      </c>
      <c r="D31" s="153"/>
      <c r="E31" s="154"/>
      <c r="F31" s="52" t="s">
        <v>63</v>
      </c>
      <c r="G31" s="53"/>
      <c r="H31" s="54">
        <f>SUM(H20:H28)</f>
        <v>975</v>
      </c>
    </row>
    <row r="32" spans="1:13" ht="28.5" customHeight="1" x14ac:dyDescent="0.3">
      <c r="A32" s="134" t="s">
        <v>64</v>
      </c>
      <c r="B32" s="135"/>
      <c r="C32" s="136" t="s">
        <v>65</v>
      </c>
      <c r="D32" s="137"/>
      <c r="E32" s="138"/>
      <c r="F32" s="55" t="s">
        <v>66</v>
      </c>
      <c r="G32" s="56"/>
      <c r="H32" s="57">
        <f>+B29+D29+F29</f>
        <v>24.375</v>
      </c>
    </row>
    <row r="33" spans="1:10" ht="34.5" customHeight="1" x14ac:dyDescent="0.3">
      <c r="A33" s="134" t="s">
        <v>67</v>
      </c>
      <c r="B33" s="135"/>
      <c r="C33" s="136" t="s">
        <v>68</v>
      </c>
      <c r="D33" s="137"/>
      <c r="E33" s="138"/>
      <c r="F33" s="55" t="s">
        <v>69</v>
      </c>
      <c r="G33" s="56"/>
      <c r="H33" s="58">
        <f>+H32</f>
        <v>24.375</v>
      </c>
    </row>
    <row r="34" spans="1:10" ht="29.25" customHeight="1" x14ac:dyDescent="0.35">
      <c r="A34" s="134" t="s">
        <v>70</v>
      </c>
      <c r="B34" s="135"/>
      <c r="C34" s="139" t="s">
        <v>71</v>
      </c>
      <c r="D34" s="140"/>
      <c r="E34" s="141"/>
      <c r="F34" s="59" t="s">
        <v>72</v>
      </c>
      <c r="G34" s="56"/>
      <c r="H34" s="58">
        <f>SUM(K20:K26)</f>
        <v>0</v>
      </c>
    </row>
    <row r="35" spans="1:10" ht="24.9" customHeight="1" x14ac:dyDescent="0.3">
      <c r="A35" s="122" t="s">
        <v>73</v>
      </c>
      <c r="B35" s="123"/>
      <c r="C35" s="124" t="s">
        <v>74</v>
      </c>
      <c r="D35" s="125"/>
      <c r="E35" s="126"/>
      <c r="F35" s="59" t="s">
        <v>75</v>
      </c>
      <c r="G35" s="56"/>
      <c r="H35" s="60">
        <v>0</v>
      </c>
    </row>
    <row r="36" spans="1:10" ht="33" customHeight="1" x14ac:dyDescent="0.35">
      <c r="A36" s="127" t="s">
        <v>76</v>
      </c>
      <c r="B36" s="128"/>
      <c r="C36" s="124" t="s">
        <v>77</v>
      </c>
      <c r="D36" s="125"/>
      <c r="E36" s="126"/>
      <c r="F36" s="61" t="s">
        <v>78</v>
      </c>
      <c r="G36" s="56"/>
      <c r="H36" s="60"/>
    </row>
    <row r="37" spans="1:10" ht="36.75" customHeight="1" thickBot="1" x14ac:dyDescent="0.4">
      <c r="A37" s="129" t="s">
        <v>79</v>
      </c>
      <c r="B37" s="130"/>
      <c r="C37" s="131" t="s">
        <v>80</v>
      </c>
      <c r="D37" s="132"/>
      <c r="E37" s="133"/>
      <c r="F37" s="62" t="s">
        <v>81</v>
      </c>
      <c r="G37" s="63"/>
      <c r="H37" s="64">
        <f>ROUNDUP(SUM(H31:H35),0)</f>
        <v>1024</v>
      </c>
    </row>
    <row r="38" spans="1:10" ht="52.5" customHeight="1" thickBot="1" x14ac:dyDescent="0.35">
      <c r="A38" s="109" t="s">
        <v>82</v>
      </c>
      <c r="B38" s="110"/>
      <c r="C38" s="110"/>
      <c r="D38" s="110"/>
      <c r="E38" s="111"/>
      <c r="F38" s="65" t="s">
        <v>83</v>
      </c>
      <c r="G38" s="66" t="s">
        <v>84</v>
      </c>
      <c r="H38" s="67">
        <f>+D11+7</f>
        <v>45382</v>
      </c>
      <c r="J38" s="2"/>
    </row>
    <row r="39" spans="1:10" ht="33.75" customHeight="1" thickBot="1" x14ac:dyDescent="0.4">
      <c r="A39" s="112" t="str">
        <f>+SpellNumber($H$37)</f>
        <v xml:space="preserve">Rupees One Thousand Twenty Four and Paise Zero Only </v>
      </c>
      <c r="B39" s="113"/>
      <c r="C39" s="113"/>
      <c r="D39" s="113"/>
      <c r="E39" s="113"/>
      <c r="F39" s="113"/>
      <c r="G39" s="113"/>
      <c r="H39" s="114"/>
    </row>
    <row r="40" spans="1:10" ht="123.75" customHeight="1" thickBot="1" x14ac:dyDescent="0.35">
      <c r="A40" s="115" t="s">
        <v>85</v>
      </c>
      <c r="B40" s="116"/>
      <c r="C40" s="116"/>
      <c r="D40" s="117" t="s">
        <v>86</v>
      </c>
      <c r="E40" s="117"/>
      <c r="F40" s="117"/>
      <c r="G40" s="117"/>
      <c r="H40" s="118"/>
    </row>
    <row r="41" spans="1:10" ht="23.85" customHeight="1" thickBot="1" x14ac:dyDescent="0.35">
      <c r="A41" s="119" t="s">
        <v>87</v>
      </c>
      <c r="B41" s="120"/>
      <c r="C41" s="120"/>
      <c r="D41" s="120"/>
      <c r="E41" s="120"/>
      <c r="F41" s="120"/>
      <c r="G41" s="120"/>
      <c r="H41" s="121"/>
    </row>
    <row r="42" spans="1:10" ht="16.649999999999999" customHeight="1" x14ac:dyDescent="0.3">
      <c r="A42" s="68"/>
    </row>
    <row r="43" spans="1:10" ht="15.15" customHeight="1" x14ac:dyDescent="0.3"/>
  </sheetData>
  <mergeCells count="36">
    <mergeCell ref="D12:H12"/>
    <mergeCell ref="A7:H7"/>
    <mergeCell ref="A8:H8"/>
    <mergeCell ref="A9:H9"/>
    <mergeCell ref="A10:H10"/>
    <mergeCell ref="D11:H11"/>
    <mergeCell ref="D13:H13"/>
    <mergeCell ref="A14:B14"/>
    <mergeCell ref="D14:H14"/>
    <mergeCell ref="C15:C16"/>
    <mergeCell ref="D15:H15"/>
    <mergeCell ref="A16:B16"/>
    <mergeCell ref="D16:H16"/>
    <mergeCell ref="A17:B17"/>
    <mergeCell ref="C17:C18"/>
    <mergeCell ref="D17:H17"/>
    <mergeCell ref="D18:H18"/>
    <mergeCell ref="A31:B31"/>
    <mergeCell ref="C31:E31"/>
    <mergeCell ref="A32:B32"/>
    <mergeCell ref="C32:E32"/>
    <mergeCell ref="A33:B33"/>
    <mergeCell ref="C33:E33"/>
    <mergeCell ref="A34:B34"/>
    <mergeCell ref="C34:E34"/>
    <mergeCell ref="A35:B35"/>
    <mergeCell ref="C35:E35"/>
    <mergeCell ref="A36:B36"/>
    <mergeCell ref="C36:E36"/>
    <mergeCell ref="A37:B37"/>
    <mergeCell ref="C37:E37"/>
    <mergeCell ref="A38:E38"/>
    <mergeCell ref="A39:H39"/>
    <mergeCell ref="A40:C40"/>
    <mergeCell ref="D40:H40"/>
    <mergeCell ref="A41:H41"/>
  </mergeCells>
  <dataValidations count="1">
    <dataValidation type="custom" allowBlank="1" showInputMessage="1" showErrorMessage="1" error="Inccorect Invoice No" sqref="B11" xr:uid="{6125AE56-CB97-4C58-B5DA-D4B5BA9C09D9}">
      <formula1>LEFT(B11,11)&lt;&gt;"VLK/18-19/"</formula1>
    </dataValidation>
  </dataValidations>
  <pageMargins left="0.43307086614173229" right="0.23622047244094491" top="0.94488188976377963" bottom="0.55118110236220474" header="0.31496062992125984" footer="0.31496062992125984"/>
  <pageSetup paperSize="9" scale="47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4480D58-4734-4A99-9F7B-EF5A1C75F3EB}">
          <x14:formula1>
            <xm:f>Customer!$B$2:$B$14</xm:f>
          </x14:formula1>
          <xm:sqref>A17:B17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6014D-7BB3-4FF6-B09D-5DBA66F8D9FA}">
  <sheetPr codeName="Sheet6"/>
  <dimension ref="A1:T22"/>
  <sheetViews>
    <sheetView workbookViewId="0">
      <selection activeCell="D4" sqref="D4"/>
    </sheetView>
  </sheetViews>
  <sheetFormatPr defaultRowHeight="14.4" x14ac:dyDescent="0.3"/>
  <cols>
    <col min="1" max="1" width="3" bestFit="1" customWidth="1"/>
    <col min="2" max="2" width="14.88671875" bestFit="1" customWidth="1"/>
    <col min="3" max="3" width="13.33203125" style="69" customWidth="1"/>
    <col min="4" max="4" width="37.44140625" bestFit="1" customWidth="1"/>
    <col min="5" max="5" width="17.5546875" bestFit="1" customWidth="1"/>
    <col min="6" max="6" width="30" bestFit="1" customWidth="1"/>
    <col min="7" max="7" width="10.21875" customWidth="1"/>
    <col min="8" max="8" width="7.33203125" customWidth="1"/>
    <col min="9" max="9" width="9.44140625" bestFit="1" customWidth="1"/>
    <col min="10" max="10" width="11.33203125" bestFit="1" customWidth="1"/>
    <col min="11" max="11" width="8.44140625" style="87" bestFit="1" customWidth="1"/>
    <col min="12" max="12" width="9.21875" bestFit="1" customWidth="1"/>
    <col min="13" max="13" width="13.109375" bestFit="1" customWidth="1"/>
    <col min="14" max="15" width="12" bestFit="1" customWidth="1"/>
    <col min="16" max="16" width="6.77734375" bestFit="1" customWidth="1"/>
    <col min="17" max="17" width="14.77734375" bestFit="1" customWidth="1"/>
    <col min="18" max="18" width="13.109375" bestFit="1" customWidth="1"/>
    <col min="19" max="19" width="16.6640625" bestFit="1" customWidth="1"/>
    <col min="20" max="20" width="19.33203125" bestFit="1" customWidth="1"/>
  </cols>
  <sheetData>
    <row r="1" spans="1:20" x14ac:dyDescent="0.3">
      <c r="B1" t="s">
        <v>88</v>
      </c>
      <c r="C1" t="s">
        <v>35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66</v>
      </c>
      <c r="O1" t="s">
        <v>69</v>
      </c>
      <c r="P1" t="s">
        <v>99</v>
      </c>
      <c r="Q1" t="s">
        <v>100</v>
      </c>
      <c r="R1" t="s">
        <v>359</v>
      </c>
      <c r="S1" t="s">
        <v>101</v>
      </c>
      <c r="T1" t="s">
        <v>102</v>
      </c>
    </row>
    <row r="2" spans="1:20" x14ac:dyDescent="0.3">
      <c r="A2">
        <v>1</v>
      </c>
      <c r="B2" t="s">
        <v>176</v>
      </c>
      <c r="C2" s="69">
        <v>45371</v>
      </c>
      <c r="D2" t="s">
        <v>114</v>
      </c>
      <c r="E2" t="s">
        <v>162</v>
      </c>
      <c r="F2" t="s">
        <v>344</v>
      </c>
      <c r="G2">
        <v>539</v>
      </c>
      <c r="H2" t="s">
        <v>103</v>
      </c>
      <c r="I2">
        <v>384</v>
      </c>
      <c r="J2">
        <v>2035</v>
      </c>
      <c r="K2" s="87">
        <v>0.18</v>
      </c>
      <c r="L2">
        <v>0</v>
      </c>
      <c r="M2">
        <f t="shared" ref="M2:M20" si="0">+G2*I2</f>
        <v>206976</v>
      </c>
      <c r="N2">
        <f>+(M2*K2)/2</f>
        <v>18627.84</v>
      </c>
      <c r="O2">
        <f>+N2</f>
        <v>18627.84</v>
      </c>
      <c r="P2">
        <f>+M2*L2</f>
        <v>0</v>
      </c>
      <c r="R2">
        <f>+M2+N2+O2</f>
        <v>244231.67999999999</v>
      </c>
      <c r="S2" t="s">
        <v>104</v>
      </c>
      <c r="T2" t="s">
        <v>105</v>
      </c>
    </row>
    <row r="3" spans="1:20" x14ac:dyDescent="0.3">
      <c r="A3">
        <v>2</v>
      </c>
      <c r="B3" t="s">
        <v>178</v>
      </c>
      <c r="C3" s="69">
        <v>45372</v>
      </c>
      <c r="D3" t="s">
        <v>115</v>
      </c>
      <c r="E3" t="s">
        <v>163</v>
      </c>
      <c r="F3" t="s">
        <v>347</v>
      </c>
      <c r="G3">
        <v>630</v>
      </c>
      <c r="H3" t="s">
        <v>103</v>
      </c>
      <c r="I3">
        <v>1372</v>
      </c>
      <c r="J3">
        <v>3433</v>
      </c>
      <c r="K3" s="87">
        <v>0.12</v>
      </c>
      <c r="L3">
        <v>0</v>
      </c>
      <c r="M3">
        <f t="shared" si="0"/>
        <v>864360</v>
      </c>
      <c r="N3">
        <f t="shared" ref="N3:N19" si="1">+(M3*K3)/2</f>
        <v>51861.599999999999</v>
      </c>
      <c r="O3">
        <f t="shared" ref="O3:O22" si="2">+N3</f>
        <v>51861.599999999999</v>
      </c>
      <c r="P3">
        <f t="shared" ref="P3:P20" si="3">+M3*L3</f>
        <v>0</v>
      </c>
      <c r="R3">
        <f t="shared" ref="R3:R19" si="4">+M3+N3+O3</f>
        <v>968083.2</v>
      </c>
      <c r="S3" t="s">
        <v>104</v>
      </c>
      <c r="T3" t="s">
        <v>106</v>
      </c>
    </row>
    <row r="4" spans="1:20" x14ac:dyDescent="0.3">
      <c r="A4">
        <v>3</v>
      </c>
      <c r="B4" t="s">
        <v>196</v>
      </c>
      <c r="C4" s="69">
        <v>45372</v>
      </c>
      <c r="D4" t="s">
        <v>116</v>
      </c>
      <c r="E4" t="s">
        <v>164</v>
      </c>
      <c r="F4" t="s">
        <v>348</v>
      </c>
      <c r="G4">
        <v>296</v>
      </c>
      <c r="H4" t="s">
        <v>103</v>
      </c>
      <c r="I4">
        <v>134</v>
      </c>
      <c r="J4">
        <v>4518</v>
      </c>
      <c r="K4" s="87">
        <v>0.05</v>
      </c>
      <c r="L4">
        <v>0</v>
      </c>
      <c r="M4">
        <f t="shared" si="0"/>
        <v>39664</v>
      </c>
      <c r="N4">
        <f t="shared" si="1"/>
        <v>991.6</v>
      </c>
      <c r="O4">
        <f t="shared" si="2"/>
        <v>991.6</v>
      </c>
      <c r="P4">
        <f t="shared" si="3"/>
        <v>0</v>
      </c>
      <c r="R4">
        <f t="shared" si="4"/>
        <v>41647.199999999997</v>
      </c>
      <c r="S4" t="s">
        <v>104</v>
      </c>
      <c r="T4" t="s">
        <v>107</v>
      </c>
    </row>
    <row r="5" spans="1:20" x14ac:dyDescent="0.3">
      <c r="A5">
        <v>4</v>
      </c>
      <c r="B5" t="s">
        <v>197</v>
      </c>
      <c r="C5" s="69">
        <v>45372</v>
      </c>
      <c r="D5" t="s">
        <v>117</v>
      </c>
      <c r="E5" t="s">
        <v>165</v>
      </c>
      <c r="F5" t="s">
        <v>349</v>
      </c>
      <c r="G5">
        <v>1278</v>
      </c>
      <c r="H5" t="s">
        <v>103</v>
      </c>
      <c r="I5">
        <v>1450</v>
      </c>
      <c r="J5">
        <v>3507</v>
      </c>
      <c r="K5" s="87">
        <v>0.12</v>
      </c>
      <c r="L5">
        <v>0</v>
      </c>
      <c r="M5">
        <f t="shared" si="0"/>
        <v>1853100</v>
      </c>
      <c r="N5">
        <f t="shared" si="1"/>
        <v>111186</v>
      </c>
      <c r="O5">
        <f t="shared" si="2"/>
        <v>111186</v>
      </c>
      <c r="P5">
        <f t="shared" si="3"/>
        <v>0</v>
      </c>
      <c r="R5">
        <f t="shared" si="4"/>
        <v>2075472</v>
      </c>
      <c r="S5" t="s">
        <v>104</v>
      </c>
      <c r="T5" t="s">
        <v>108</v>
      </c>
    </row>
    <row r="6" spans="1:20" x14ac:dyDescent="0.3">
      <c r="A6">
        <v>5</v>
      </c>
      <c r="B6" t="s">
        <v>198</v>
      </c>
      <c r="C6" s="69">
        <v>45372</v>
      </c>
      <c r="D6" t="s">
        <v>118</v>
      </c>
      <c r="E6" t="s">
        <v>166</v>
      </c>
      <c r="F6" t="s">
        <v>350</v>
      </c>
      <c r="G6">
        <v>814</v>
      </c>
      <c r="H6" t="s">
        <v>103</v>
      </c>
      <c r="I6">
        <v>1190</v>
      </c>
      <c r="J6">
        <v>3292</v>
      </c>
      <c r="K6" s="87">
        <v>0.18</v>
      </c>
      <c r="L6">
        <v>0</v>
      </c>
      <c r="M6">
        <f t="shared" si="0"/>
        <v>968660</v>
      </c>
      <c r="N6">
        <f t="shared" si="1"/>
        <v>87179.4</v>
      </c>
      <c r="O6">
        <f t="shared" si="2"/>
        <v>87179.4</v>
      </c>
      <c r="P6">
        <f t="shared" si="3"/>
        <v>0</v>
      </c>
      <c r="R6">
        <f t="shared" si="4"/>
        <v>1143018.7999999998</v>
      </c>
      <c r="S6" t="s">
        <v>104</v>
      </c>
      <c r="T6" t="s">
        <v>109</v>
      </c>
    </row>
    <row r="7" spans="1:20" x14ac:dyDescent="0.3">
      <c r="A7">
        <v>6</v>
      </c>
      <c r="B7" t="s">
        <v>199</v>
      </c>
      <c r="C7" s="69">
        <v>45372</v>
      </c>
      <c r="D7" t="s">
        <v>119</v>
      </c>
      <c r="E7" t="s">
        <v>167</v>
      </c>
      <c r="F7" t="s">
        <v>351</v>
      </c>
      <c r="G7">
        <v>784</v>
      </c>
      <c r="H7" t="s">
        <v>103</v>
      </c>
      <c r="I7">
        <v>1148</v>
      </c>
      <c r="J7">
        <v>3703</v>
      </c>
      <c r="K7" s="87">
        <v>0.28000000000000003</v>
      </c>
      <c r="L7">
        <v>0</v>
      </c>
      <c r="M7">
        <f t="shared" si="0"/>
        <v>900032</v>
      </c>
      <c r="N7">
        <f t="shared" si="1"/>
        <v>126004.48000000001</v>
      </c>
      <c r="O7">
        <f t="shared" si="2"/>
        <v>126004.48000000001</v>
      </c>
      <c r="P7">
        <f t="shared" si="3"/>
        <v>0</v>
      </c>
      <c r="R7">
        <f t="shared" si="4"/>
        <v>1152040.96</v>
      </c>
      <c r="S7" t="s">
        <v>104</v>
      </c>
      <c r="T7" t="s">
        <v>110</v>
      </c>
    </row>
    <row r="8" spans="1:20" x14ac:dyDescent="0.3">
      <c r="A8">
        <v>7</v>
      </c>
      <c r="B8" t="s">
        <v>200</v>
      </c>
      <c r="C8" s="69">
        <v>45372</v>
      </c>
      <c r="D8" t="s">
        <v>120</v>
      </c>
      <c r="E8" t="s">
        <v>168</v>
      </c>
      <c r="F8" t="s">
        <v>352</v>
      </c>
      <c r="G8">
        <v>1362</v>
      </c>
      <c r="H8" t="s">
        <v>103</v>
      </c>
      <c r="I8">
        <v>1175</v>
      </c>
      <c r="J8">
        <v>4706</v>
      </c>
      <c r="K8" s="87">
        <v>0</v>
      </c>
      <c r="L8">
        <v>0</v>
      </c>
      <c r="M8">
        <f t="shared" si="0"/>
        <v>1600350</v>
      </c>
      <c r="N8">
        <f t="shared" si="1"/>
        <v>0</v>
      </c>
      <c r="O8">
        <f t="shared" si="2"/>
        <v>0</v>
      </c>
      <c r="P8">
        <f t="shared" si="3"/>
        <v>0</v>
      </c>
      <c r="R8">
        <f t="shared" si="4"/>
        <v>1600350</v>
      </c>
      <c r="S8" t="s">
        <v>104</v>
      </c>
      <c r="T8" t="s">
        <v>111</v>
      </c>
    </row>
    <row r="9" spans="1:20" x14ac:dyDescent="0.3">
      <c r="A9">
        <v>8</v>
      </c>
      <c r="B9" t="s">
        <v>201</v>
      </c>
      <c r="C9" s="69">
        <v>45373</v>
      </c>
      <c r="D9" t="s">
        <v>121</v>
      </c>
      <c r="E9" t="s">
        <v>169</v>
      </c>
      <c r="F9" t="s">
        <v>353</v>
      </c>
      <c r="G9">
        <v>634</v>
      </c>
      <c r="H9" t="s">
        <v>103</v>
      </c>
      <c r="I9">
        <v>205</v>
      </c>
      <c r="J9">
        <v>3050</v>
      </c>
      <c r="K9" s="87">
        <v>0.05</v>
      </c>
      <c r="L9">
        <v>0</v>
      </c>
      <c r="M9">
        <f t="shared" si="0"/>
        <v>129970</v>
      </c>
      <c r="N9">
        <f t="shared" si="1"/>
        <v>3249.25</v>
      </c>
      <c r="O9">
        <f t="shared" si="2"/>
        <v>3249.25</v>
      </c>
      <c r="P9">
        <f t="shared" si="3"/>
        <v>0</v>
      </c>
      <c r="R9">
        <f t="shared" si="4"/>
        <v>136468.5</v>
      </c>
      <c r="S9" t="s">
        <v>112</v>
      </c>
      <c r="T9" t="s">
        <v>113</v>
      </c>
    </row>
    <row r="10" spans="1:20" x14ac:dyDescent="0.3">
      <c r="A10">
        <v>9</v>
      </c>
      <c r="B10" t="s">
        <v>202</v>
      </c>
      <c r="C10" s="69">
        <v>45373</v>
      </c>
      <c r="D10" t="s">
        <v>122</v>
      </c>
      <c r="E10" t="s">
        <v>170</v>
      </c>
      <c r="F10" t="s">
        <v>354</v>
      </c>
      <c r="G10">
        <v>308</v>
      </c>
      <c r="H10" t="s">
        <v>103</v>
      </c>
      <c r="I10">
        <v>1436</v>
      </c>
      <c r="J10">
        <v>3326</v>
      </c>
      <c r="K10" s="87">
        <v>0.12</v>
      </c>
      <c r="L10">
        <v>0</v>
      </c>
      <c r="M10">
        <f t="shared" si="0"/>
        <v>442288</v>
      </c>
      <c r="N10">
        <f t="shared" si="1"/>
        <v>26537.279999999999</v>
      </c>
      <c r="O10">
        <f t="shared" si="2"/>
        <v>26537.279999999999</v>
      </c>
      <c r="P10">
        <f t="shared" si="3"/>
        <v>0</v>
      </c>
      <c r="R10">
        <f t="shared" si="4"/>
        <v>495362.56000000006</v>
      </c>
      <c r="S10" t="s">
        <v>112</v>
      </c>
      <c r="T10" t="s">
        <v>174</v>
      </c>
    </row>
    <row r="11" spans="1:20" x14ac:dyDescent="0.3">
      <c r="A11">
        <v>10</v>
      </c>
      <c r="B11" t="s">
        <v>203</v>
      </c>
      <c r="C11" s="69">
        <v>45373</v>
      </c>
      <c r="D11" t="s">
        <v>123</v>
      </c>
      <c r="E11" t="s">
        <v>171</v>
      </c>
      <c r="F11" t="s">
        <v>348</v>
      </c>
      <c r="G11">
        <v>1079</v>
      </c>
      <c r="H11" t="s">
        <v>103</v>
      </c>
      <c r="I11">
        <v>344</v>
      </c>
      <c r="J11">
        <v>1552</v>
      </c>
      <c r="K11" s="87">
        <v>0.18</v>
      </c>
      <c r="L11">
        <v>0</v>
      </c>
      <c r="M11">
        <f t="shared" si="0"/>
        <v>371176</v>
      </c>
      <c r="N11">
        <f t="shared" si="1"/>
        <v>33405.839999999997</v>
      </c>
      <c r="O11">
        <f t="shared" si="2"/>
        <v>33405.839999999997</v>
      </c>
      <c r="P11">
        <f t="shared" si="3"/>
        <v>0</v>
      </c>
      <c r="R11">
        <f t="shared" si="4"/>
        <v>437987.67999999993</v>
      </c>
      <c r="S11" t="s">
        <v>112</v>
      </c>
      <c r="T11" t="s">
        <v>175</v>
      </c>
    </row>
    <row r="12" spans="1:20" x14ac:dyDescent="0.3">
      <c r="A12">
        <v>11</v>
      </c>
      <c r="B12" t="s">
        <v>204</v>
      </c>
      <c r="C12" s="69">
        <v>45374</v>
      </c>
      <c r="D12" t="s">
        <v>124</v>
      </c>
      <c r="E12" t="s">
        <v>172</v>
      </c>
      <c r="F12" t="s">
        <v>355</v>
      </c>
      <c r="G12">
        <v>1230</v>
      </c>
      <c r="H12" t="s">
        <v>103</v>
      </c>
      <c r="I12">
        <v>928</v>
      </c>
      <c r="J12">
        <v>1599</v>
      </c>
      <c r="K12" s="87">
        <v>0.12</v>
      </c>
      <c r="L12">
        <v>0</v>
      </c>
      <c r="M12">
        <f t="shared" si="0"/>
        <v>1141440</v>
      </c>
      <c r="N12">
        <f t="shared" si="1"/>
        <v>68486.399999999994</v>
      </c>
      <c r="O12">
        <f t="shared" si="2"/>
        <v>68486.399999999994</v>
      </c>
      <c r="P12">
        <f t="shared" si="3"/>
        <v>0</v>
      </c>
      <c r="R12">
        <f t="shared" si="4"/>
        <v>1278412.7999999998</v>
      </c>
      <c r="S12" t="s">
        <v>112</v>
      </c>
      <c r="T12" t="s">
        <v>177</v>
      </c>
    </row>
    <row r="13" spans="1:20" x14ac:dyDescent="0.3">
      <c r="A13">
        <v>12</v>
      </c>
      <c r="B13" t="s">
        <v>205</v>
      </c>
      <c r="C13" s="69">
        <v>45374</v>
      </c>
      <c r="D13" t="s">
        <v>125</v>
      </c>
      <c r="E13" t="s">
        <v>173</v>
      </c>
      <c r="F13" t="s">
        <v>356</v>
      </c>
      <c r="G13">
        <v>518</v>
      </c>
      <c r="H13" t="s">
        <v>103</v>
      </c>
      <c r="I13">
        <v>1006</v>
      </c>
      <c r="J13">
        <v>2851</v>
      </c>
      <c r="K13" s="87">
        <v>0.18</v>
      </c>
      <c r="L13">
        <v>0</v>
      </c>
      <c r="M13">
        <f t="shared" si="0"/>
        <v>521108</v>
      </c>
      <c r="N13">
        <f t="shared" si="1"/>
        <v>46899.72</v>
      </c>
      <c r="O13">
        <f t="shared" si="2"/>
        <v>46899.72</v>
      </c>
      <c r="P13">
        <f t="shared" si="3"/>
        <v>0</v>
      </c>
      <c r="R13">
        <f t="shared" si="4"/>
        <v>614907.43999999994</v>
      </c>
      <c r="S13" t="s">
        <v>112</v>
      </c>
      <c r="T13" t="s">
        <v>179</v>
      </c>
    </row>
    <row r="14" spans="1:20" x14ac:dyDescent="0.3">
      <c r="A14">
        <v>13</v>
      </c>
      <c r="B14" t="s">
        <v>206</v>
      </c>
      <c r="C14" s="69">
        <v>45375</v>
      </c>
      <c r="D14" t="s">
        <v>121</v>
      </c>
      <c r="E14" t="s">
        <v>169</v>
      </c>
      <c r="F14" t="s">
        <v>357</v>
      </c>
      <c r="G14">
        <v>65</v>
      </c>
      <c r="H14" t="s">
        <v>103</v>
      </c>
      <c r="I14">
        <v>15</v>
      </c>
      <c r="J14">
        <v>1892</v>
      </c>
      <c r="K14" s="87">
        <v>0.18</v>
      </c>
      <c r="M14">
        <f t="shared" si="0"/>
        <v>975</v>
      </c>
      <c r="N14">
        <f t="shared" si="1"/>
        <v>87.75</v>
      </c>
      <c r="O14">
        <f t="shared" si="2"/>
        <v>87.75</v>
      </c>
      <c r="P14">
        <f t="shared" si="3"/>
        <v>0</v>
      </c>
      <c r="R14">
        <f t="shared" si="4"/>
        <v>1150.5</v>
      </c>
      <c r="S14" t="s">
        <v>112</v>
      </c>
      <c r="T14" t="s">
        <v>358</v>
      </c>
    </row>
    <row r="15" spans="1:20" x14ac:dyDescent="0.3">
      <c r="M15">
        <f t="shared" si="0"/>
        <v>0</v>
      </c>
      <c r="N15">
        <f t="shared" si="1"/>
        <v>0</v>
      </c>
      <c r="O15">
        <f t="shared" si="2"/>
        <v>0</v>
      </c>
      <c r="P15">
        <f t="shared" si="3"/>
        <v>0</v>
      </c>
      <c r="R15">
        <f t="shared" si="4"/>
        <v>0</v>
      </c>
    </row>
    <row r="16" spans="1:20" x14ac:dyDescent="0.3">
      <c r="M16">
        <f t="shared" si="0"/>
        <v>0</v>
      </c>
      <c r="N16">
        <f t="shared" si="1"/>
        <v>0</v>
      </c>
      <c r="O16">
        <f t="shared" si="2"/>
        <v>0</v>
      </c>
      <c r="P16">
        <f t="shared" si="3"/>
        <v>0</v>
      </c>
      <c r="R16">
        <f t="shared" si="4"/>
        <v>0</v>
      </c>
    </row>
    <row r="17" spans="13:18" x14ac:dyDescent="0.3">
      <c r="M17">
        <f t="shared" si="0"/>
        <v>0</v>
      </c>
      <c r="N17">
        <f t="shared" si="1"/>
        <v>0</v>
      </c>
      <c r="O17">
        <f t="shared" si="2"/>
        <v>0</v>
      </c>
      <c r="P17">
        <f t="shared" si="3"/>
        <v>0</v>
      </c>
      <c r="R17">
        <f t="shared" si="4"/>
        <v>0</v>
      </c>
    </row>
    <row r="18" spans="13:18" x14ac:dyDescent="0.3">
      <c r="M18">
        <f t="shared" si="0"/>
        <v>0</v>
      </c>
      <c r="N18">
        <f t="shared" si="1"/>
        <v>0</v>
      </c>
      <c r="O18">
        <f t="shared" si="2"/>
        <v>0</v>
      </c>
      <c r="P18">
        <f t="shared" si="3"/>
        <v>0</v>
      </c>
      <c r="R18">
        <f t="shared" si="4"/>
        <v>0</v>
      </c>
    </row>
    <row r="19" spans="13:18" x14ac:dyDescent="0.3">
      <c r="M19">
        <f t="shared" si="0"/>
        <v>0</v>
      </c>
      <c r="N19">
        <f t="shared" si="1"/>
        <v>0</v>
      </c>
      <c r="O19">
        <f t="shared" si="2"/>
        <v>0</v>
      </c>
      <c r="P19">
        <f t="shared" si="3"/>
        <v>0</v>
      </c>
      <c r="R19">
        <f t="shared" si="4"/>
        <v>0</v>
      </c>
    </row>
    <row r="20" spans="13:18" x14ac:dyDescent="0.3">
      <c r="M20">
        <f t="shared" si="0"/>
        <v>0</v>
      </c>
      <c r="O20">
        <f t="shared" si="2"/>
        <v>0</v>
      </c>
      <c r="P20">
        <f t="shared" si="3"/>
        <v>0</v>
      </c>
    </row>
    <row r="21" spans="13:18" x14ac:dyDescent="0.3">
      <c r="O21">
        <f t="shared" si="2"/>
        <v>0</v>
      </c>
    </row>
    <row r="22" spans="13:18" x14ac:dyDescent="0.3">
      <c r="O22">
        <f t="shared" si="2"/>
        <v>0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03F3F-0B27-453A-8637-BD4A091E71C4}">
  <sheetPr codeName="Sheet7"/>
  <dimension ref="A1:AI50"/>
  <sheetViews>
    <sheetView workbookViewId="0">
      <selection activeCell="F4" sqref="F4"/>
    </sheetView>
  </sheetViews>
  <sheetFormatPr defaultRowHeight="14.4" x14ac:dyDescent="0.3"/>
  <cols>
    <col min="1" max="1" width="4" customWidth="1"/>
    <col min="2" max="2" width="16.33203125" customWidth="1"/>
    <col min="3" max="3" width="13.33203125" customWidth="1"/>
    <col min="4" max="4" width="28.5546875" bestFit="1" customWidth="1"/>
    <col min="5" max="5" width="17" bestFit="1" customWidth="1"/>
    <col min="6" max="6" width="19.44140625" customWidth="1"/>
    <col min="7" max="7" width="10.21875" customWidth="1"/>
    <col min="9" max="9" width="8.88671875" style="84"/>
    <col min="10" max="10" width="12.33203125" customWidth="1"/>
    <col min="13" max="13" width="14.44140625" customWidth="1"/>
  </cols>
  <sheetData>
    <row r="1" spans="1:35" x14ac:dyDescent="0.3">
      <c r="B1" t="s">
        <v>191</v>
      </c>
      <c r="C1" t="s">
        <v>35</v>
      </c>
      <c r="D1" t="s">
        <v>192</v>
      </c>
      <c r="E1" t="s">
        <v>23</v>
      </c>
      <c r="F1" t="s">
        <v>91</v>
      </c>
      <c r="G1" t="s">
        <v>92</v>
      </c>
      <c r="H1" t="s">
        <v>94</v>
      </c>
      <c r="I1" t="s">
        <v>96</v>
      </c>
      <c r="J1" t="s">
        <v>98</v>
      </c>
      <c r="K1" t="s">
        <v>193</v>
      </c>
      <c r="L1" t="s">
        <v>69</v>
      </c>
      <c r="M1" t="s">
        <v>194</v>
      </c>
    </row>
    <row r="2" spans="1:35" x14ac:dyDescent="0.3">
      <c r="A2">
        <v>1</v>
      </c>
      <c r="B2" t="s">
        <v>328</v>
      </c>
      <c r="C2" s="69">
        <v>45299</v>
      </c>
      <c r="D2" t="s">
        <v>225</v>
      </c>
      <c r="E2" t="str">
        <f>VLOOKUP(purchasetable[[#This Row],[Vendor Name ]],vendortable[[#All],[Name]:[GST Number]],7,0)</f>
        <v>27ABWFE9823A1ZX</v>
      </c>
      <c r="F2" t="s">
        <v>338</v>
      </c>
      <c r="G2">
        <v>100</v>
      </c>
      <c r="H2">
        <v>15</v>
      </c>
      <c r="I2" s="84">
        <v>0.12</v>
      </c>
      <c r="J2">
        <f>purchasetable[[#This Row],[Quantity]]*purchasetable[[#This Row],[Rate]]</f>
        <v>1500</v>
      </c>
      <c r="K2">
        <f>purchasetable[[#This Row],[Basic Value]]*(purchasetable[[#This Row],[GST %]])/2</f>
        <v>90</v>
      </c>
      <c r="L2">
        <f>purchasetable[[#This Row],[Basic Value]]*(purchasetable[[#This Row],[GST %]])/2</f>
        <v>90</v>
      </c>
      <c r="M2">
        <f>purchasetable[[#This Row],[Basic Value]]+purchasetable[[#This Row],[SGST ]]+purchasetable[[#This Row],[CGST]]</f>
        <v>1680</v>
      </c>
    </row>
    <row r="3" spans="1:35" x14ac:dyDescent="0.3">
      <c r="A3">
        <v>2</v>
      </c>
      <c r="B3" t="s">
        <v>329</v>
      </c>
      <c r="C3" s="69">
        <v>45334</v>
      </c>
      <c r="D3" t="s">
        <v>226</v>
      </c>
      <c r="E3" t="str">
        <f>VLOOKUP(purchasetable[[#This Row],[Vendor Name ]],vendortable[[#All],[Name]:[GST Number]],7,0)</f>
        <v>27PYRHU6745B2ZY</v>
      </c>
      <c r="F3" t="s">
        <v>339</v>
      </c>
      <c r="G3">
        <v>50</v>
      </c>
      <c r="H3">
        <v>50</v>
      </c>
      <c r="I3" s="84">
        <v>0.18</v>
      </c>
      <c r="J3">
        <f>purchasetable[[#This Row],[Quantity]]*purchasetable[[#This Row],[Rate]]</f>
        <v>2500</v>
      </c>
      <c r="K3">
        <f>purchasetable[[#This Row],[Basic Value]]*(purchasetable[[#This Row],[GST %]])/2</f>
        <v>225</v>
      </c>
      <c r="L3">
        <f>purchasetable[[#This Row],[Basic Value]]*(purchasetable[[#This Row],[GST %]])/2</f>
        <v>225</v>
      </c>
      <c r="M3">
        <f>purchasetable[[#This Row],[Basic Value]]+purchasetable[[#This Row],[SGST ]]+purchasetable[[#This Row],[CGST]]</f>
        <v>2950</v>
      </c>
    </row>
    <row r="4" spans="1:35" x14ac:dyDescent="0.3">
      <c r="A4">
        <v>3</v>
      </c>
      <c r="B4" t="s">
        <v>330</v>
      </c>
      <c r="C4" s="69">
        <v>45355</v>
      </c>
      <c r="D4" t="s">
        <v>227</v>
      </c>
      <c r="E4" t="str">
        <f>VLOOKUP(purchasetable[[#This Row],[Vendor Name ]],vendortable[[#All],[Name]:[GST Number]],7,0)</f>
        <v>27KSNLG8356C3XZ</v>
      </c>
      <c r="F4" t="s">
        <v>340</v>
      </c>
      <c r="G4">
        <v>125</v>
      </c>
      <c r="H4">
        <v>10</v>
      </c>
      <c r="I4" s="84">
        <v>0.12</v>
      </c>
      <c r="J4">
        <f>purchasetable[[#This Row],[Quantity]]*purchasetable[[#This Row],[Rate]]</f>
        <v>1250</v>
      </c>
      <c r="K4">
        <f>purchasetable[[#This Row],[Basic Value]]*(purchasetable[[#This Row],[GST %]])/2</f>
        <v>75</v>
      </c>
      <c r="L4">
        <f>purchasetable[[#This Row],[Basic Value]]*(purchasetable[[#This Row],[GST %]])/2</f>
        <v>75</v>
      </c>
      <c r="M4">
        <f>purchasetable[[#This Row],[Basic Value]]+purchasetable[[#This Row],[SGST ]]+purchasetable[[#This Row],[CGST]]</f>
        <v>1400</v>
      </c>
    </row>
    <row r="5" spans="1:35" x14ac:dyDescent="0.3">
      <c r="A5">
        <v>4</v>
      </c>
      <c r="B5" t="s">
        <v>331</v>
      </c>
      <c r="C5" s="69">
        <v>45383</v>
      </c>
      <c r="D5" t="s">
        <v>228</v>
      </c>
      <c r="E5" t="str">
        <f>VLOOKUP(purchasetable[[#This Row],[Vendor Name ]],vendortable[[#All],[Name]:[GST Number]],7,0)</f>
        <v>27WQIXD1457D4YZ</v>
      </c>
      <c r="F5" t="s">
        <v>341</v>
      </c>
      <c r="G5">
        <v>200</v>
      </c>
      <c r="H5">
        <v>21.5</v>
      </c>
      <c r="I5" s="84">
        <v>0.12</v>
      </c>
      <c r="J5">
        <f>purchasetable[[#This Row],[Quantity]]*purchasetable[[#This Row],[Rate]]</f>
        <v>4300</v>
      </c>
      <c r="K5">
        <f>purchasetable[[#This Row],[Basic Value]]*(purchasetable[[#This Row],[GST %]])/2</f>
        <v>258</v>
      </c>
      <c r="L5">
        <f>purchasetable[[#This Row],[Basic Value]]*(purchasetable[[#This Row],[GST %]])/2</f>
        <v>258</v>
      </c>
      <c r="M5">
        <f>purchasetable[[#This Row],[Basic Value]]+purchasetable[[#This Row],[SGST ]]+purchasetable[[#This Row],[CGST]]</f>
        <v>4816</v>
      </c>
    </row>
    <row r="6" spans="1:35" x14ac:dyDescent="0.3">
      <c r="A6">
        <v>5</v>
      </c>
      <c r="B6" t="s">
        <v>332</v>
      </c>
      <c r="C6" s="69">
        <v>45432</v>
      </c>
      <c r="D6" t="s">
        <v>229</v>
      </c>
      <c r="E6" t="str">
        <f>VLOOKUP(purchasetable[[#This Row],[Vendor Name ]],vendortable[[#All],[Name]:[GST Number]],7,0)</f>
        <v>27ZMVDN2678E5ZY</v>
      </c>
      <c r="F6" t="s">
        <v>342</v>
      </c>
      <c r="G6">
        <v>2100</v>
      </c>
      <c r="H6">
        <v>65</v>
      </c>
      <c r="I6" s="84">
        <v>0</v>
      </c>
      <c r="J6">
        <f>purchasetable[[#This Row],[Quantity]]*purchasetable[[#This Row],[Rate]]</f>
        <v>136500</v>
      </c>
      <c r="K6">
        <f>purchasetable[[#This Row],[Basic Value]]*(purchasetable[[#This Row],[GST %]])/2</f>
        <v>0</v>
      </c>
      <c r="L6">
        <f>purchasetable[[#This Row],[Basic Value]]*(purchasetable[[#This Row],[GST %]])/2</f>
        <v>0</v>
      </c>
      <c r="M6">
        <f>purchasetable[[#This Row],[Basic Value]]+purchasetable[[#This Row],[SGST ]]+purchasetable[[#This Row],[CGST]]</f>
        <v>136500</v>
      </c>
    </row>
    <row r="7" spans="1:35" x14ac:dyDescent="0.3">
      <c r="A7">
        <v>6</v>
      </c>
      <c r="B7" t="s">
        <v>333</v>
      </c>
      <c r="C7" s="69">
        <v>45452</v>
      </c>
      <c r="D7" t="s">
        <v>230</v>
      </c>
      <c r="E7" t="str">
        <f>VLOOKUP(purchasetable[[#This Row],[Vendor Name ]],vendortable[[#All],[Name]:[GST Number]],7,0)</f>
        <v>27JQAXF9089F6XZ</v>
      </c>
      <c r="F7" t="s">
        <v>343</v>
      </c>
      <c r="G7">
        <v>5</v>
      </c>
      <c r="H7">
        <v>12000</v>
      </c>
      <c r="I7" s="84">
        <v>0.28000000000000003</v>
      </c>
      <c r="J7">
        <f>purchasetable[[#This Row],[Quantity]]*purchasetable[[#This Row],[Rate]]</f>
        <v>60000</v>
      </c>
      <c r="K7">
        <f>purchasetable[[#This Row],[Basic Value]]*(purchasetable[[#This Row],[GST %]])/2</f>
        <v>8400</v>
      </c>
      <c r="L7">
        <f>purchasetable[[#This Row],[Basic Value]]*(purchasetable[[#This Row],[GST %]])/2</f>
        <v>8400</v>
      </c>
      <c r="M7">
        <f>purchasetable[[#This Row],[Basic Value]]+purchasetable[[#This Row],[SGST ]]+purchasetable[[#This Row],[CGST]]</f>
        <v>76800</v>
      </c>
    </row>
    <row r="8" spans="1:35" x14ac:dyDescent="0.3">
      <c r="A8">
        <v>7</v>
      </c>
      <c r="B8" t="s">
        <v>334</v>
      </c>
      <c r="C8" s="69">
        <v>45488</v>
      </c>
      <c r="D8" t="s">
        <v>231</v>
      </c>
      <c r="E8" t="str">
        <f>VLOOKUP(purchasetable[[#This Row],[Vendor Name ]],vendortable[[#All],[Name]:[GST Number]],7,0)</f>
        <v>27TDUIC5470G7YZ</v>
      </c>
      <c r="F8" t="s">
        <v>338</v>
      </c>
      <c r="G8">
        <v>500</v>
      </c>
      <c r="H8">
        <v>55</v>
      </c>
      <c r="I8" s="84">
        <v>0.05</v>
      </c>
      <c r="J8">
        <f>purchasetable[[#This Row],[Quantity]]*purchasetable[[#This Row],[Rate]]</f>
        <v>27500</v>
      </c>
      <c r="K8">
        <f>purchasetable[[#This Row],[Basic Value]]*(purchasetable[[#This Row],[GST %]])/2</f>
        <v>687.5</v>
      </c>
      <c r="L8">
        <f>purchasetable[[#This Row],[Basic Value]]*(purchasetable[[#This Row],[GST %]])/2</f>
        <v>687.5</v>
      </c>
      <c r="M8">
        <f>purchasetable[[#This Row],[Basic Value]]+purchasetable[[#This Row],[SGST ]]+purchasetable[[#This Row],[CGST]]</f>
        <v>28875</v>
      </c>
    </row>
    <row r="9" spans="1:35" x14ac:dyDescent="0.3">
      <c r="A9">
        <v>8</v>
      </c>
      <c r="B9" t="s">
        <v>335</v>
      </c>
      <c r="C9" s="69">
        <v>45532</v>
      </c>
      <c r="D9" t="s">
        <v>232</v>
      </c>
      <c r="E9" t="str">
        <f>VLOOKUP(purchasetable[[#This Row],[Vendor Name ]],vendortable[[#All],[Name]:[GST Number]],7,0)</f>
        <v>27CVNWG3761H8ZX</v>
      </c>
      <c r="F9" t="s">
        <v>344</v>
      </c>
      <c r="G9">
        <v>2000</v>
      </c>
      <c r="H9">
        <v>55</v>
      </c>
      <c r="I9" s="84">
        <v>0.18</v>
      </c>
      <c r="J9">
        <f>purchasetable[[#This Row],[Quantity]]*purchasetable[[#This Row],[Rate]]</f>
        <v>110000</v>
      </c>
      <c r="K9">
        <f>purchasetable[[#This Row],[Basic Value]]*(purchasetable[[#This Row],[GST %]])/2</f>
        <v>9900</v>
      </c>
      <c r="L9">
        <f>purchasetable[[#This Row],[Basic Value]]*(purchasetable[[#This Row],[GST %]])/2</f>
        <v>9900</v>
      </c>
      <c r="M9">
        <f>purchasetable[[#This Row],[Basic Value]]+purchasetable[[#This Row],[SGST ]]+purchasetable[[#This Row],[CGST]]</f>
        <v>129800</v>
      </c>
      <c r="AI9">
        <v>0</v>
      </c>
    </row>
    <row r="10" spans="1:35" x14ac:dyDescent="0.3">
      <c r="A10">
        <v>9</v>
      </c>
      <c r="B10" t="s">
        <v>336</v>
      </c>
      <c r="C10" s="69">
        <v>45538</v>
      </c>
      <c r="D10" t="s">
        <v>233</v>
      </c>
      <c r="E10" t="str">
        <f>VLOOKUP(purchasetable[[#This Row],[Vendor Name ]],vendortable[[#All],[Name]:[GST Number]],7,0)</f>
        <v>27FOYSA8192I9YZ</v>
      </c>
      <c r="F10" t="s">
        <v>345</v>
      </c>
      <c r="G10">
        <v>10</v>
      </c>
      <c r="H10">
        <v>20000</v>
      </c>
      <c r="I10" s="84">
        <v>0.18</v>
      </c>
      <c r="J10">
        <f>purchasetable[[#This Row],[Quantity]]*purchasetable[[#This Row],[Rate]]</f>
        <v>200000</v>
      </c>
      <c r="K10">
        <f>purchasetable[[#This Row],[Basic Value]]*(purchasetable[[#This Row],[GST %]])/2</f>
        <v>18000</v>
      </c>
      <c r="L10">
        <f>purchasetable[[#This Row],[Basic Value]]*(purchasetable[[#This Row],[GST %]])/2</f>
        <v>18000</v>
      </c>
      <c r="M10">
        <f>purchasetable[[#This Row],[Basic Value]]+purchasetable[[#This Row],[SGST ]]+purchasetable[[#This Row],[CGST]]</f>
        <v>236000</v>
      </c>
      <c r="AI10">
        <v>5</v>
      </c>
    </row>
    <row r="11" spans="1:35" x14ac:dyDescent="0.3">
      <c r="A11">
        <v>10</v>
      </c>
      <c r="B11" t="s">
        <v>337</v>
      </c>
      <c r="C11" s="69">
        <v>45576</v>
      </c>
      <c r="D11" t="s">
        <v>245</v>
      </c>
      <c r="E11" t="str">
        <f>VLOOKUP(purchasetable[[#This Row],[Vendor Name ]],vendortable[[#All],[Name]:[GST Number]],7,0)</f>
        <v>27AHCPK5738L1ZZ</v>
      </c>
      <c r="F11" t="s">
        <v>346</v>
      </c>
      <c r="G11">
        <v>20000</v>
      </c>
      <c r="H11">
        <v>2</v>
      </c>
      <c r="I11" s="84">
        <v>0.12</v>
      </c>
      <c r="J11">
        <f>purchasetable[[#This Row],[Quantity]]*purchasetable[[#This Row],[Rate]]</f>
        <v>40000</v>
      </c>
      <c r="K11">
        <f>purchasetable[[#This Row],[Basic Value]]*(purchasetable[[#This Row],[GST %]])/2</f>
        <v>2400</v>
      </c>
      <c r="L11">
        <f>purchasetable[[#This Row],[Basic Value]]*(purchasetable[[#This Row],[GST %]])/2</f>
        <v>2400</v>
      </c>
      <c r="M11">
        <f>purchasetable[[#This Row],[Basic Value]]+purchasetable[[#This Row],[SGST ]]+purchasetable[[#This Row],[CGST]]</f>
        <v>44800</v>
      </c>
      <c r="AI11">
        <v>12</v>
      </c>
    </row>
    <row r="12" spans="1:35" x14ac:dyDescent="0.3">
      <c r="A12">
        <v>11</v>
      </c>
      <c r="AI12">
        <v>18</v>
      </c>
    </row>
    <row r="13" spans="1:35" x14ac:dyDescent="0.3">
      <c r="A13">
        <v>12</v>
      </c>
      <c r="AI13">
        <v>28</v>
      </c>
    </row>
    <row r="14" spans="1:35" x14ac:dyDescent="0.3">
      <c r="A14">
        <v>13</v>
      </c>
    </row>
    <row r="15" spans="1:35" x14ac:dyDescent="0.3">
      <c r="A15">
        <v>14</v>
      </c>
    </row>
    <row r="16" spans="1:35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  <row r="23" spans="1:1" x14ac:dyDescent="0.3">
      <c r="A23">
        <v>22</v>
      </c>
    </row>
    <row r="24" spans="1:1" x14ac:dyDescent="0.3">
      <c r="A24">
        <v>23</v>
      </c>
    </row>
    <row r="25" spans="1:1" x14ac:dyDescent="0.3">
      <c r="A25">
        <v>24</v>
      </c>
    </row>
    <row r="26" spans="1:1" x14ac:dyDescent="0.3">
      <c r="A26">
        <v>25</v>
      </c>
    </row>
    <row r="27" spans="1:1" x14ac:dyDescent="0.3">
      <c r="A27">
        <v>26</v>
      </c>
    </row>
    <row r="28" spans="1:1" x14ac:dyDescent="0.3">
      <c r="A28">
        <v>27</v>
      </c>
    </row>
    <row r="29" spans="1:1" x14ac:dyDescent="0.3">
      <c r="A29">
        <v>28</v>
      </c>
    </row>
    <row r="30" spans="1:1" x14ac:dyDescent="0.3">
      <c r="A30">
        <v>29</v>
      </c>
    </row>
    <row r="31" spans="1:1" x14ac:dyDescent="0.3">
      <c r="A31">
        <v>30</v>
      </c>
    </row>
    <row r="32" spans="1:1" x14ac:dyDescent="0.3">
      <c r="A32">
        <v>31</v>
      </c>
    </row>
    <row r="33" spans="1:1" x14ac:dyDescent="0.3">
      <c r="A33">
        <v>32</v>
      </c>
    </row>
    <row r="34" spans="1:1" x14ac:dyDescent="0.3">
      <c r="A34">
        <v>33</v>
      </c>
    </row>
    <row r="35" spans="1:1" x14ac:dyDescent="0.3">
      <c r="A35">
        <v>34</v>
      </c>
    </row>
    <row r="36" spans="1:1" x14ac:dyDescent="0.3">
      <c r="A36">
        <v>35</v>
      </c>
    </row>
    <row r="37" spans="1:1" x14ac:dyDescent="0.3">
      <c r="A37">
        <v>36</v>
      </c>
    </row>
    <row r="38" spans="1:1" x14ac:dyDescent="0.3">
      <c r="A38">
        <v>37</v>
      </c>
    </row>
    <row r="39" spans="1:1" x14ac:dyDescent="0.3">
      <c r="A39">
        <v>38</v>
      </c>
    </row>
    <row r="40" spans="1:1" x14ac:dyDescent="0.3">
      <c r="A40">
        <v>39</v>
      </c>
    </row>
    <row r="41" spans="1:1" x14ac:dyDescent="0.3">
      <c r="A41">
        <v>40</v>
      </c>
    </row>
    <row r="42" spans="1:1" x14ac:dyDescent="0.3">
      <c r="A42">
        <v>41</v>
      </c>
    </row>
    <row r="43" spans="1:1" x14ac:dyDescent="0.3">
      <c r="A43">
        <v>42</v>
      </c>
    </row>
    <row r="44" spans="1:1" x14ac:dyDescent="0.3">
      <c r="A44">
        <v>43</v>
      </c>
    </row>
    <row r="45" spans="1:1" x14ac:dyDescent="0.3">
      <c r="A45">
        <v>44</v>
      </c>
    </row>
    <row r="46" spans="1:1" x14ac:dyDescent="0.3">
      <c r="A46">
        <v>45</v>
      </c>
    </row>
    <row r="47" spans="1:1" x14ac:dyDescent="0.3">
      <c r="A47">
        <v>46</v>
      </c>
    </row>
    <row r="48" spans="1:1" x14ac:dyDescent="0.3">
      <c r="A48">
        <v>47</v>
      </c>
    </row>
    <row r="49" spans="1:1" x14ac:dyDescent="0.3">
      <c r="A49">
        <v>48</v>
      </c>
    </row>
    <row r="50" spans="1:1" x14ac:dyDescent="0.3">
      <c r="A50">
        <v>49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Welcome</vt:lpstr>
      <vt:lpstr>Menu</vt:lpstr>
      <vt:lpstr>Employee</vt:lpstr>
      <vt:lpstr>Customer</vt:lpstr>
      <vt:lpstr>Vendor</vt:lpstr>
      <vt:lpstr>Sales Invoice</vt:lpstr>
      <vt:lpstr>Sales</vt:lpstr>
      <vt:lpstr>Purchase</vt:lpstr>
      <vt:lpstr>KRISLON_SYNTHETICS_PVT.LTD.</vt:lpstr>
      <vt:lpstr>'Sales Invoice'!Print_Area</vt:lpstr>
      <vt:lpstr>Welcome!Print_Area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Soumya Chauhan</dc:creator>
  <cp:lastModifiedBy>Soumya Chauhan</cp:lastModifiedBy>
  <cp:lastPrinted>2024-03-23T15:27:46Z</cp:lastPrinted>
  <dcterms:created xsi:type="dcterms:W3CDTF">2024-03-21T09:08:07Z</dcterms:created>
  <dcterms:modified xsi:type="dcterms:W3CDTF">2024-03-26T16:48:23Z</dcterms:modified>
</cp:coreProperties>
</file>